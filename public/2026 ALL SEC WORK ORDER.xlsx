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All Data\"/>
    </mc:Choice>
  </mc:AlternateContent>
  <xr:revisionPtr revIDLastSave="0" documentId="13_ncr:1_{A144E1A8-8C02-4356-B976-18E5F01CC4A8}" xr6:coauthVersionLast="47" xr6:coauthVersionMax="47" xr10:uidLastSave="{00000000-0000-0000-0000-000000000000}"/>
  <bookViews>
    <workbookView xWindow="-120" yWindow="-120" windowWidth="29040" windowHeight="15720" firstSheet="2" activeTab="12" xr2:uid="{00000000-000D-0000-FFFF-FFFF00000000}"/>
  </bookViews>
  <sheets>
    <sheet name="263021880" sheetId="240" r:id="rId1"/>
    <sheet name="263024207" sheetId="239" r:id="rId2"/>
    <sheet name="253107226" sheetId="238" r:id="rId3"/>
    <sheet name="263022070" sheetId="237" r:id="rId4"/>
    <sheet name="263022543" sheetId="236" r:id="rId5"/>
    <sheet name="263022537" sheetId="235" r:id="rId6"/>
    <sheet name="223015469" sheetId="234" r:id="rId7"/>
    <sheet name="263022073" sheetId="233" r:id="rId8"/>
    <sheet name="263011939" sheetId="232" r:id="rId9"/>
    <sheet name="263018938" sheetId="231" r:id="rId10"/>
    <sheet name="253087667" sheetId="230" r:id="rId11"/>
    <sheet name="253077642" sheetId="229" r:id="rId12"/>
    <sheet name="243144292" sheetId="228" r:id="rId13"/>
    <sheet name="233080750" sheetId="227" r:id="rId14"/>
    <sheet name="233014504" sheetId="226" r:id="rId15"/>
    <sheet name="263018066" sheetId="225" r:id="rId16"/>
    <sheet name="253036843" sheetId="224" r:id="rId17"/>
    <sheet name="253108613" sheetId="223" r:id="rId18"/>
    <sheet name="213044258" sheetId="222" r:id="rId19"/>
    <sheet name="263011617" sheetId="220" r:id="rId20"/>
    <sheet name="263004224" sheetId="219" r:id="rId21"/>
    <sheet name="263008665" sheetId="218" r:id="rId22"/>
    <sheet name="243035191" sheetId="217" r:id="rId23"/>
    <sheet name="263014269" sheetId="216" r:id="rId24"/>
    <sheet name="263014264" sheetId="215" r:id="rId25"/>
    <sheet name="263014838" sheetId="214" r:id="rId26"/>
    <sheet name="243139816" sheetId="213" r:id="rId27"/>
    <sheet name="253010429" sheetId="211" r:id="rId28"/>
    <sheet name="263007745" sheetId="210" r:id="rId29"/>
    <sheet name="263010814" sheetId="209" r:id="rId30"/>
    <sheet name="253025231" sheetId="208" r:id="rId31"/>
    <sheet name="263010938" sheetId="207" r:id="rId32"/>
    <sheet name="263009588" sheetId="206" r:id="rId33"/>
    <sheet name="253011070" sheetId="205" r:id="rId34"/>
    <sheet name="243057224" sheetId="204" r:id="rId35"/>
    <sheet name="253010514" sheetId="203" r:id="rId36"/>
    <sheet name="263010838" sheetId="202" r:id="rId37"/>
    <sheet name="253114372" sheetId="201" r:id="rId38"/>
    <sheet name="263000934" sheetId="200" r:id="rId39"/>
    <sheet name="263009498" sheetId="199" r:id="rId40"/>
    <sheet name="233048773" sheetId="198" r:id="rId41"/>
    <sheet name="263001494" sheetId="197" r:id="rId42"/>
    <sheet name="263003403" sheetId="196" r:id="rId43"/>
    <sheet name="253111632" sheetId="195" r:id="rId44"/>
    <sheet name="263004982" sheetId="194" r:id="rId45"/>
    <sheet name="253012149" sheetId="193" r:id="rId46"/>
    <sheet name="253073786" sheetId="192" r:id="rId47"/>
    <sheet name="253104191" sheetId="191" r:id="rId48"/>
    <sheet name="263002669" sheetId="190" r:id="rId49"/>
    <sheet name="253115670" sheetId="189" r:id="rId50"/>
    <sheet name="253017357" sheetId="188" r:id="rId51"/>
    <sheet name="253112381" sheetId="187" r:id="rId52"/>
    <sheet name="253031580" sheetId="186" r:id="rId53"/>
    <sheet name="253070947" sheetId="185" r:id="rId54"/>
    <sheet name="263003969" sheetId="184" r:id="rId55"/>
    <sheet name="243130645" sheetId="183" r:id="rId56"/>
    <sheet name="243000104" sheetId="182" r:id="rId57"/>
    <sheet name="253105906" sheetId="181" r:id="rId58"/>
    <sheet name="263001737" sheetId="180" r:id="rId59"/>
    <sheet name="253105792" sheetId="179" r:id="rId60"/>
    <sheet name="233014536" sheetId="178" r:id="rId61"/>
    <sheet name="253113537" sheetId="177" r:id="rId62"/>
    <sheet name="243130960" sheetId="176" r:id="rId63"/>
    <sheet name="253084458" sheetId="173" r:id="rId64"/>
    <sheet name="253032044" sheetId="171" r:id="rId65"/>
    <sheet name="253033351" sheetId="170" r:id="rId66"/>
    <sheet name="253089846" sheetId="169" r:id="rId67"/>
    <sheet name="25112092" sheetId="168" r:id="rId68"/>
    <sheet name="253007101" sheetId="167" r:id="rId69"/>
    <sheet name="253010005" sheetId="166" r:id="rId70"/>
    <sheet name="243144111" sheetId="165" r:id="rId71"/>
    <sheet name="253009776" sheetId="164" r:id="rId72"/>
    <sheet name="253105843" sheetId="163" r:id="rId73"/>
    <sheet name="213040142" sheetId="162" r:id="rId74"/>
    <sheet name="253110291" sheetId="161" r:id="rId75"/>
    <sheet name="253019048" sheetId="160" r:id="rId76"/>
    <sheet name="253111379" sheetId="159" r:id="rId77"/>
    <sheet name="Sheet2" sheetId="174" r:id="rId7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40" l="1"/>
  <c r="G5" i="240"/>
  <c r="G4" i="240"/>
  <c r="G3" i="240"/>
  <c r="G12" i="227"/>
  <c r="F7" i="228"/>
  <c r="G4" i="239" l="1"/>
  <c r="G5" i="239"/>
  <c r="G6" i="239"/>
  <c r="G7" i="239"/>
  <c r="G3" i="239"/>
  <c r="G5" i="238"/>
  <c r="G4" i="238"/>
  <c r="G3" i="238"/>
  <c r="F9" i="202"/>
  <c r="G18" i="202"/>
  <c r="G15" i="202"/>
  <c r="G16" i="202"/>
  <c r="G17" i="202"/>
  <c r="E9" i="202"/>
  <c r="E13" i="202"/>
  <c r="G14" i="202"/>
  <c r="E12" i="202"/>
  <c r="F21" i="160"/>
  <c r="D25" i="165"/>
  <c r="D33" i="160"/>
  <c r="F27" i="160"/>
  <c r="F26" i="160"/>
  <c r="F18" i="160"/>
  <c r="F16" i="160"/>
  <c r="F8" i="160"/>
  <c r="F5" i="160"/>
  <c r="F3" i="160"/>
  <c r="F22" i="160"/>
  <c r="G8" i="233"/>
  <c r="G8" i="237"/>
  <c r="G30" i="160"/>
  <c r="F9" i="159"/>
  <c r="F7" i="159"/>
  <c r="G4" i="237"/>
  <c r="G5" i="237"/>
  <c r="G6" i="237"/>
  <c r="G7" i="237"/>
  <c r="G3" i="237"/>
  <c r="G7" i="233"/>
  <c r="G13" i="167"/>
  <c r="E9" i="159" l="1"/>
  <c r="E10" i="159"/>
  <c r="G17" i="159"/>
  <c r="G14" i="159"/>
  <c r="G15" i="159"/>
  <c r="G16" i="159"/>
  <c r="E7" i="159"/>
  <c r="E6" i="159"/>
  <c r="G6" i="232"/>
  <c r="G5" i="206"/>
  <c r="G6" i="206"/>
  <c r="G7" i="206"/>
  <c r="G8" i="206"/>
  <c r="G9" i="206"/>
  <c r="G10" i="206"/>
  <c r="G11" i="206"/>
  <c r="G4" i="236"/>
  <c r="G5" i="236"/>
  <c r="G6" i="236"/>
  <c r="G7" i="236"/>
  <c r="G8" i="236"/>
  <c r="G3" i="236"/>
  <c r="G4" i="235"/>
  <c r="G5" i="235"/>
  <c r="G6" i="235"/>
  <c r="G7" i="235"/>
  <c r="G8" i="235"/>
  <c r="G3" i="235"/>
  <c r="G4" i="234"/>
  <c r="G5" i="234"/>
  <c r="G6" i="234"/>
  <c r="G7" i="234"/>
  <c r="G8" i="234"/>
  <c r="G9" i="234"/>
  <c r="G10" i="234"/>
  <c r="G11" i="234"/>
  <c r="G12" i="234"/>
  <c r="G13" i="234"/>
  <c r="G3" i="234"/>
  <c r="F21" i="226"/>
  <c r="G21" i="165"/>
  <c r="G21" i="226" l="1"/>
  <c r="F15" i="226"/>
  <c r="F6" i="225"/>
  <c r="G19" i="226"/>
  <c r="G20" i="226"/>
  <c r="G6" i="233" l="1"/>
  <c r="G4" i="233" l="1"/>
  <c r="G5" i="233"/>
  <c r="G3" i="233"/>
  <c r="G4" i="232"/>
  <c r="G5" i="232"/>
  <c r="G3" i="232"/>
  <c r="G4" i="231"/>
  <c r="G5" i="231"/>
  <c r="G3" i="231"/>
  <c r="G4" i="230" l="1"/>
  <c r="G5" i="230"/>
  <c r="G6" i="230"/>
  <c r="G8" i="230"/>
  <c r="G9" i="230"/>
  <c r="G10" i="230"/>
  <c r="G11" i="230"/>
  <c r="G12" i="230"/>
  <c r="G13" i="230"/>
  <c r="G3" i="230"/>
  <c r="G13" i="224"/>
  <c r="G4" i="224"/>
  <c r="G5" i="224"/>
  <c r="G6" i="224"/>
  <c r="G7" i="224"/>
  <c r="G8" i="224"/>
  <c r="G9" i="224"/>
  <c r="G10" i="224"/>
  <c r="G11" i="224"/>
  <c r="G12" i="224"/>
  <c r="G3" i="224"/>
  <c r="G4" i="167"/>
  <c r="G5" i="167"/>
  <c r="G6" i="167"/>
  <c r="G7" i="167"/>
  <c r="G8" i="167"/>
  <c r="G9" i="167"/>
  <c r="G10" i="167"/>
  <c r="G11" i="167"/>
  <c r="G12" i="167"/>
  <c r="G4" i="229"/>
  <c r="G3" i="229"/>
  <c r="G4" i="228" l="1"/>
  <c r="G5" i="228"/>
  <c r="G6" i="228"/>
  <c r="G7" i="228"/>
  <c r="G8" i="228"/>
  <c r="G9" i="228"/>
  <c r="G10" i="228"/>
  <c r="G11" i="228"/>
  <c r="G12" i="228"/>
  <c r="G13" i="228"/>
  <c r="G14" i="228"/>
  <c r="G15" i="228"/>
  <c r="G3" i="228"/>
  <c r="G4" i="227"/>
  <c r="G3" i="227"/>
  <c r="G6" i="227"/>
  <c r="G7" i="227"/>
  <c r="G8" i="227"/>
  <c r="G9" i="227"/>
  <c r="G10" i="227"/>
  <c r="G11" i="227"/>
  <c r="G5" i="227"/>
  <c r="D28" i="204"/>
  <c r="G5" i="196"/>
  <c r="G6" i="196"/>
  <c r="G7" i="196"/>
  <c r="G8" i="196"/>
  <c r="G9" i="196"/>
  <c r="G10" i="196"/>
  <c r="G11" i="196"/>
  <c r="G12" i="196"/>
  <c r="G29" i="160"/>
  <c r="E18" i="160"/>
  <c r="E16" i="160"/>
  <c r="F6" i="224"/>
  <c r="G18" i="226"/>
  <c r="G17" i="226"/>
  <c r="E16" i="226"/>
  <c r="G16" i="226" s="1"/>
  <c r="E15" i="226"/>
  <c r="G15" i="226" s="1"/>
  <c r="G14" i="226"/>
  <c r="G13" i="226"/>
  <c r="G12" i="226"/>
  <c r="G11" i="226"/>
  <c r="G10" i="226"/>
  <c r="G9" i="226"/>
  <c r="G8" i="226"/>
  <c r="G7" i="226"/>
  <c r="G6" i="226"/>
  <c r="G5" i="226"/>
  <c r="G4" i="226"/>
  <c r="G3" i="226"/>
  <c r="G10" i="225"/>
  <c r="G4" i="225"/>
  <c r="G5" i="225"/>
  <c r="G6" i="225"/>
  <c r="G7" i="225"/>
  <c r="G8" i="225"/>
  <c r="G9" i="225"/>
  <c r="G11" i="225"/>
  <c r="G12" i="225"/>
  <c r="G13" i="225"/>
  <c r="G3" i="225"/>
  <c r="G4" i="223"/>
  <c r="F4" i="219"/>
  <c r="F12" i="219"/>
  <c r="F9" i="219"/>
  <c r="F6" i="219"/>
  <c r="E5" i="160"/>
  <c r="E3" i="160"/>
  <c r="G18" i="219"/>
  <c r="E9" i="219"/>
  <c r="E12" i="219"/>
  <c r="G19" i="219"/>
  <c r="G17" i="219"/>
  <c r="G16" i="219"/>
  <c r="G15" i="219"/>
  <c r="G14" i="219"/>
  <c r="F6" i="222"/>
  <c r="G3" i="223"/>
  <c r="G4" i="218"/>
  <c r="G5" i="215" l="1"/>
  <c r="G6" i="215"/>
  <c r="G7" i="215"/>
  <c r="G8" i="215"/>
  <c r="G9" i="215"/>
  <c r="G10" i="215"/>
  <c r="G5" i="216"/>
  <c r="G6" i="216"/>
  <c r="G7" i="216"/>
  <c r="G8" i="216"/>
  <c r="G9" i="216"/>
  <c r="G10" i="216"/>
  <c r="F5" i="194"/>
  <c r="F10" i="194"/>
  <c r="F6" i="220"/>
  <c r="G4" i="216" l="1"/>
  <c r="G4" i="215"/>
  <c r="G4" i="219"/>
  <c r="G4" i="222" l="1"/>
  <c r="G5" i="222"/>
  <c r="G6" i="222"/>
  <c r="G7" i="222"/>
  <c r="G8" i="222"/>
  <c r="G9" i="222"/>
  <c r="G10" i="222"/>
  <c r="G11" i="222"/>
  <c r="G12" i="222"/>
  <c r="G13" i="222"/>
  <c r="G3" i="222"/>
  <c r="G13" i="220"/>
  <c r="F6" i="211" l="1"/>
  <c r="G17" i="166"/>
  <c r="E8" i="166"/>
  <c r="G19" i="194"/>
  <c r="G18" i="194"/>
  <c r="G17" i="194"/>
  <c r="G14" i="194"/>
  <c r="G15" i="194"/>
  <c r="G16" i="194"/>
  <c r="E5" i="194"/>
  <c r="E11" i="194"/>
  <c r="E13" i="194"/>
  <c r="G5" i="190"/>
  <c r="G6" i="190"/>
  <c r="G7" i="190"/>
  <c r="G8" i="190"/>
  <c r="G9" i="190"/>
  <c r="G10" i="190"/>
  <c r="G11" i="190"/>
  <c r="G12" i="190"/>
  <c r="G6" i="209"/>
  <c r="G7" i="209"/>
  <c r="G8" i="209"/>
  <c r="G9" i="209"/>
  <c r="G10" i="209"/>
  <c r="G11" i="209"/>
  <c r="G12" i="209"/>
  <c r="G5" i="209"/>
  <c r="G5" i="219"/>
  <c r="G6" i="219"/>
  <c r="G7" i="219"/>
  <c r="G8" i="219"/>
  <c r="G9" i="219"/>
  <c r="G10" i="219"/>
  <c r="G11" i="219"/>
  <c r="G12" i="219"/>
  <c r="G13" i="219"/>
  <c r="G5" i="220"/>
  <c r="G6" i="220"/>
  <c r="G7" i="220"/>
  <c r="G8" i="220"/>
  <c r="G9" i="220"/>
  <c r="G10" i="220"/>
  <c r="G11" i="220"/>
  <c r="G12" i="220"/>
  <c r="G4" i="220"/>
  <c r="G3" i="220"/>
  <c r="G4" i="209"/>
  <c r="G3" i="209"/>
  <c r="G3" i="219"/>
  <c r="G3" i="218"/>
  <c r="G4" i="217" l="1"/>
  <c r="G5" i="217"/>
  <c r="G6" i="217"/>
  <c r="G7" i="217"/>
  <c r="G8" i="217"/>
  <c r="G9" i="217"/>
  <c r="G10" i="217"/>
  <c r="G11" i="217"/>
  <c r="G3" i="217"/>
  <c r="G3" i="216"/>
  <c r="G3" i="215"/>
  <c r="G4" i="214"/>
  <c r="G3" i="214"/>
  <c r="E13" i="199" l="1"/>
  <c r="F13" i="199"/>
  <c r="F9" i="199"/>
  <c r="E11" i="199" l="1"/>
  <c r="G17" i="199"/>
  <c r="G16" i="199"/>
  <c r="G15" i="199"/>
  <c r="G14" i="199"/>
  <c r="E9" i="199"/>
  <c r="G4" i="213"/>
  <c r="G3" i="213"/>
  <c r="G4" i="208"/>
  <c r="G4" i="206"/>
  <c r="G4" i="207"/>
  <c r="F7" i="210"/>
  <c r="G6" i="210"/>
  <c r="G7" i="210"/>
  <c r="G8" i="210"/>
  <c r="G9" i="210"/>
  <c r="G10" i="210"/>
  <c r="G11" i="210"/>
  <c r="G12" i="210"/>
  <c r="G13" i="210"/>
  <c r="G14" i="210"/>
  <c r="G4" i="211"/>
  <c r="G5" i="211"/>
  <c r="G6" i="211"/>
  <c r="G7" i="211"/>
  <c r="G8" i="211"/>
  <c r="G9" i="211"/>
  <c r="G10" i="211"/>
  <c r="G11" i="211"/>
  <c r="G12" i="211"/>
  <c r="G13" i="211"/>
  <c r="G3" i="211"/>
  <c r="D24" i="165"/>
  <c r="G16" i="166"/>
  <c r="F7" i="166"/>
  <c r="F6" i="166"/>
  <c r="F5" i="166"/>
  <c r="G20" i="165"/>
  <c r="G19" i="165"/>
  <c r="G4" i="210"/>
  <c r="G5" i="210"/>
  <c r="G3" i="210"/>
  <c r="G18" i="165"/>
  <c r="F18" i="165"/>
  <c r="G17" i="165"/>
  <c r="F6" i="202" l="1"/>
  <c r="G15" i="166" l="1"/>
  <c r="G14" i="166"/>
  <c r="E5" i="166"/>
  <c r="E4" i="166"/>
  <c r="G3" i="208"/>
  <c r="G3" i="207"/>
  <c r="G17" i="205"/>
  <c r="G18" i="205"/>
  <c r="G3" i="201" l="1"/>
  <c r="G3" i="206"/>
  <c r="F6" i="199"/>
  <c r="G13" i="199"/>
  <c r="G4" i="205"/>
  <c r="G5" i="205"/>
  <c r="G6" i="205"/>
  <c r="G7" i="205"/>
  <c r="G8" i="205"/>
  <c r="G9" i="205"/>
  <c r="G10" i="205"/>
  <c r="G11" i="205"/>
  <c r="G12" i="205"/>
  <c r="G13" i="205"/>
  <c r="G14" i="205"/>
  <c r="G15" i="205"/>
  <c r="G16" i="205"/>
  <c r="G3" i="205"/>
  <c r="G4" i="197"/>
  <c r="F7" i="197"/>
  <c r="G4" i="204"/>
  <c r="G5" i="204"/>
  <c r="G6" i="204"/>
  <c r="G7" i="204"/>
  <c r="G8" i="204"/>
  <c r="G9" i="204"/>
  <c r="G10" i="204"/>
  <c r="G11" i="204"/>
  <c r="G12" i="204"/>
  <c r="G13" i="204"/>
  <c r="G14" i="204"/>
  <c r="G15" i="204"/>
  <c r="G16" i="204"/>
  <c r="G17" i="204"/>
  <c r="G18" i="204"/>
  <c r="G19" i="204"/>
  <c r="G20" i="204"/>
  <c r="G21" i="204"/>
  <c r="G22" i="204"/>
  <c r="G23" i="204"/>
  <c r="G3" i="204"/>
  <c r="G4" i="203" l="1"/>
  <c r="G5" i="203"/>
  <c r="G6" i="203"/>
  <c r="G7" i="203"/>
  <c r="G8" i="203"/>
  <c r="G9" i="203"/>
  <c r="G10" i="203"/>
  <c r="G11" i="203"/>
  <c r="G3" i="203"/>
  <c r="G4" i="202"/>
  <c r="G5" i="202"/>
  <c r="G6" i="202"/>
  <c r="G7" i="202"/>
  <c r="G8" i="202"/>
  <c r="G9" i="202"/>
  <c r="G10" i="202"/>
  <c r="G11" i="202"/>
  <c r="G12" i="202"/>
  <c r="G13" i="202"/>
  <c r="G3" i="202"/>
  <c r="G4" i="201" l="1"/>
  <c r="G13" i="200"/>
  <c r="G12" i="200"/>
  <c r="G3" i="197" l="1"/>
  <c r="G13" i="197"/>
  <c r="G12" i="199"/>
  <c r="G11" i="199"/>
  <c r="G8" i="199"/>
  <c r="G9" i="199"/>
  <c r="G10" i="199"/>
  <c r="G6" i="198" l="1"/>
  <c r="G4" i="200"/>
  <c r="G5" i="200"/>
  <c r="G6" i="200"/>
  <c r="G7" i="200"/>
  <c r="G8" i="200"/>
  <c r="G9" i="200"/>
  <c r="G10" i="200"/>
  <c r="G11" i="200"/>
  <c r="G3" i="200"/>
  <c r="G4" i="199"/>
  <c r="G5" i="199"/>
  <c r="G6" i="199"/>
  <c r="G7" i="199"/>
  <c r="G3" i="199"/>
  <c r="G16" i="165"/>
  <c r="F10" i="189"/>
  <c r="E5" i="189"/>
  <c r="G17" i="189"/>
  <c r="G16" i="189"/>
  <c r="G15" i="189"/>
  <c r="G14" i="189"/>
  <c r="G5" i="197"/>
  <c r="G6" i="197"/>
  <c r="G7" i="197"/>
  <c r="G8" i="197"/>
  <c r="G9" i="197"/>
  <c r="G10" i="197"/>
  <c r="G11" i="197"/>
  <c r="G12" i="197"/>
  <c r="G4" i="198"/>
  <c r="G5" i="198"/>
  <c r="G3" i="198"/>
  <c r="G4" i="196" l="1"/>
  <c r="F7" i="194"/>
  <c r="G5" i="195"/>
  <c r="G3" i="196"/>
  <c r="F7" i="189"/>
  <c r="F6" i="195"/>
  <c r="G12" i="184"/>
  <c r="F3" i="184"/>
  <c r="G12" i="195" l="1"/>
  <c r="G10" i="189"/>
  <c r="G3" i="195"/>
  <c r="G4" i="195"/>
  <c r="G6" i="195"/>
  <c r="G7" i="195"/>
  <c r="G8" i="195"/>
  <c r="G9" i="195"/>
  <c r="G10" i="195"/>
  <c r="G11" i="195"/>
  <c r="F5" i="187"/>
  <c r="E5" i="187"/>
  <c r="E11" i="187"/>
  <c r="E13" i="187"/>
  <c r="G13" i="187"/>
  <c r="G14" i="187"/>
  <c r="G15" i="187"/>
  <c r="G16" i="187"/>
  <c r="G17" i="187"/>
  <c r="G18" i="187"/>
  <c r="G4" i="190" l="1"/>
  <c r="G4" i="194"/>
  <c r="G5" i="194"/>
  <c r="G6" i="194"/>
  <c r="G7" i="194"/>
  <c r="G8" i="194"/>
  <c r="G9" i="194"/>
  <c r="G10" i="194"/>
  <c r="G11" i="194"/>
  <c r="G12" i="194"/>
  <c r="G13" i="194"/>
  <c r="G3" i="194"/>
  <c r="G11" i="184" l="1"/>
  <c r="G10" i="184"/>
  <c r="G9" i="184"/>
  <c r="G8" i="184"/>
  <c r="G7" i="184"/>
  <c r="G6" i="184"/>
  <c r="G5" i="184"/>
  <c r="G4" i="193"/>
  <c r="G5" i="193"/>
  <c r="G6" i="193"/>
  <c r="G7" i="193"/>
  <c r="G8" i="193"/>
  <c r="G9" i="193"/>
  <c r="G10" i="193"/>
  <c r="G11" i="193"/>
  <c r="G3" i="193"/>
  <c r="G4" i="192"/>
  <c r="G5" i="192"/>
  <c r="G6" i="192"/>
  <c r="G7" i="192"/>
  <c r="G8" i="192"/>
  <c r="G9" i="192"/>
  <c r="G10" i="192"/>
  <c r="G3" i="192"/>
  <c r="G10" i="191"/>
  <c r="G9" i="191"/>
  <c r="F10" i="177"/>
  <c r="F5" i="177"/>
  <c r="E13" i="177"/>
  <c r="G15" i="177"/>
  <c r="G16" i="177"/>
  <c r="G17" i="177"/>
  <c r="G18" i="177"/>
  <c r="G14" i="177"/>
  <c r="E11" i="177"/>
  <c r="E5" i="177"/>
  <c r="G4" i="184" l="1"/>
  <c r="G8" i="191"/>
  <c r="G7" i="191"/>
  <c r="F7" i="187"/>
  <c r="G4" i="191" l="1"/>
  <c r="G5" i="191"/>
  <c r="G6" i="191"/>
  <c r="G3" i="191"/>
  <c r="G3" i="190" l="1"/>
  <c r="G4" i="189"/>
  <c r="G5" i="189"/>
  <c r="G6" i="189"/>
  <c r="G7" i="189"/>
  <c r="G8" i="189"/>
  <c r="G9" i="189"/>
  <c r="G11" i="189"/>
  <c r="G12" i="189"/>
  <c r="G13" i="189"/>
  <c r="G3" i="189"/>
  <c r="G4" i="188"/>
  <c r="G5" i="188"/>
  <c r="G6" i="188"/>
  <c r="G7" i="188"/>
  <c r="G8" i="188"/>
  <c r="G9" i="188"/>
  <c r="G10" i="188"/>
  <c r="G11" i="188"/>
  <c r="G3" i="188"/>
  <c r="G4" i="187"/>
  <c r="G5" i="187"/>
  <c r="G6" i="187"/>
  <c r="G7" i="187"/>
  <c r="G8" i="187"/>
  <c r="G9" i="187"/>
  <c r="G10" i="187"/>
  <c r="G11" i="187"/>
  <c r="G12" i="187"/>
  <c r="G3" i="187"/>
  <c r="G5" i="171"/>
  <c r="G6" i="171"/>
  <c r="G7" i="171"/>
  <c r="G8" i="171"/>
  <c r="G9" i="171"/>
  <c r="G10" i="171"/>
  <c r="G11" i="171"/>
  <c r="G12" i="171"/>
  <c r="G13" i="171"/>
  <c r="G11" i="186"/>
  <c r="G12" i="186"/>
  <c r="G4" i="186"/>
  <c r="G5" i="186"/>
  <c r="G6" i="186"/>
  <c r="G7" i="186"/>
  <c r="G8" i="186"/>
  <c r="G9" i="186"/>
  <c r="G10" i="186"/>
  <c r="G3" i="186"/>
  <c r="F7" i="177"/>
  <c r="G20" i="173"/>
  <c r="G4" i="185"/>
  <c r="G5" i="185"/>
  <c r="G6" i="185"/>
  <c r="G7" i="185"/>
  <c r="G8" i="185"/>
  <c r="G9" i="185"/>
  <c r="G10" i="185"/>
  <c r="G11" i="185"/>
  <c r="G12" i="185"/>
  <c r="G13" i="185"/>
  <c r="G3" i="185"/>
  <c r="G3" i="184"/>
  <c r="G18" i="173"/>
  <c r="G19" i="173"/>
  <c r="F15" i="173" l="1"/>
  <c r="F17" i="173"/>
  <c r="G17" i="173" s="1"/>
  <c r="D30" i="170"/>
  <c r="F17" i="170"/>
  <c r="F27" i="170"/>
  <c r="G4" i="183"/>
  <c r="G5" i="183"/>
  <c r="G6" i="183"/>
  <c r="G7" i="183"/>
  <c r="G8" i="183"/>
  <c r="G9" i="183"/>
  <c r="G10" i="183"/>
  <c r="G11" i="183"/>
  <c r="G3" i="183"/>
  <c r="G16" i="173"/>
  <c r="G15" i="173"/>
  <c r="F21" i="170" l="1"/>
  <c r="F20" i="170"/>
  <c r="F8" i="170"/>
  <c r="F9" i="170"/>
  <c r="F7" i="170"/>
  <c r="F4" i="170"/>
  <c r="F3" i="170"/>
  <c r="E7" i="163"/>
  <c r="G14" i="173"/>
  <c r="F5" i="163"/>
  <c r="G19" i="163"/>
  <c r="E8" i="163"/>
  <c r="G18" i="163"/>
  <c r="G17" i="163"/>
  <c r="G16" i="163"/>
  <c r="G15" i="163"/>
  <c r="G14" i="163"/>
  <c r="E5" i="163"/>
  <c r="E4" i="163"/>
  <c r="F3" i="182"/>
  <c r="G3" i="182" s="1"/>
  <c r="F13" i="163"/>
  <c r="G4" i="182"/>
  <c r="G5" i="182"/>
  <c r="G6" i="182"/>
  <c r="G7" i="182"/>
  <c r="G8" i="182"/>
  <c r="G9" i="182"/>
  <c r="G10" i="182"/>
  <c r="G11" i="182"/>
  <c r="G12" i="182"/>
  <c r="G13" i="182"/>
  <c r="G14" i="182"/>
  <c r="G15" i="182"/>
  <c r="G16" i="182"/>
  <c r="G17" i="182"/>
  <c r="G18" i="182"/>
  <c r="G4" i="181"/>
  <c r="G5" i="181"/>
  <c r="G6" i="181"/>
  <c r="G7" i="181"/>
  <c r="G8" i="181"/>
  <c r="G9" i="181"/>
  <c r="G10" i="181"/>
  <c r="G11" i="181"/>
  <c r="G3" i="181"/>
  <c r="G11" i="169"/>
  <c r="G5" i="178" l="1"/>
  <c r="G13" i="173"/>
  <c r="G12" i="173"/>
  <c r="G11" i="173"/>
  <c r="G10" i="173"/>
  <c r="G9" i="173"/>
  <c r="G8" i="173"/>
  <c r="G7" i="173"/>
  <c r="G6" i="173"/>
  <c r="G5" i="173"/>
  <c r="G4" i="173"/>
  <c r="G3" i="180"/>
  <c r="G3" i="179"/>
  <c r="G11" i="176" l="1"/>
  <c r="F5" i="162"/>
  <c r="G13" i="177"/>
  <c r="G6" i="170" l="1"/>
  <c r="G7" i="170"/>
  <c r="G8" i="170"/>
  <c r="G9" i="170"/>
  <c r="G10" i="170"/>
  <c r="G11" i="170"/>
  <c r="G12" i="170"/>
  <c r="G13" i="170"/>
  <c r="G12" i="177"/>
  <c r="G15" i="165"/>
  <c r="G14" i="165"/>
  <c r="G13" i="165"/>
  <c r="G4" i="178" l="1"/>
  <c r="G3" i="178"/>
  <c r="G6" i="177"/>
  <c r="G4" i="177"/>
  <c r="G5" i="177"/>
  <c r="G7" i="177"/>
  <c r="G8" i="177"/>
  <c r="G9" i="177"/>
  <c r="G10" i="177"/>
  <c r="G11" i="177"/>
  <c r="G3" i="177"/>
  <c r="G4" i="176"/>
  <c r="G5" i="176"/>
  <c r="G6" i="176"/>
  <c r="G7" i="176"/>
  <c r="G8" i="176"/>
  <c r="G9" i="176"/>
  <c r="G10" i="176"/>
  <c r="G3" i="176"/>
  <c r="G13" i="159"/>
  <c r="F5" i="159"/>
  <c r="G4" i="171"/>
  <c r="G3" i="173"/>
  <c r="G3" i="171" l="1"/>
  <c r="G4" i="170" l="1"/>
  <c r="G5" i="170"/>
  <c r="G14" i="170"/>
  <c r="G15" i="170"/>
  <c r="G16" i="170"/>
  <c r="G17" i="170"/>
  <c r="G18" i="170"/>
  <c r="G19" i="170"/>
  <c r="G20" i="170"/>
  <c r="G21" i="170"/>
  <c r="G22" i="170"/>
  <c r="G23" i="170"/>
  <c r="G24" i="170"/>
  <c r="G25" i="170"/>
  <c r="G26" i="170"/>
  <c r="G27" i="170"/>
  <c r="G3" i="170"/>
  <c r="G28" i="160"/>
  <c r="G4" i="169"/>
  <c r="G5" i="169"/>
  <c r="G6" i="169"/>
  <c r="G7" i="169"/>
  <c r="G8" i="169"/>
  <c r="G9" i="169"/>
  <c r="G10" i="169"/>
  <c r="G3" i="169"/>
  <c r="G10" i="164"/>
  <c r="G3" i="168"/>
  <c r="G3" i="167"/>
  <c r="G12" i="163"/>
  <c r="G13" i="163"/>
  <c r="G4" i="166"/>
  <c r="G5" i="166"/>
  <c r="G6" i="166"/>
  <c r="G7" i="166"/>
  <c r="G8" i="166"/>
  <c r="G9" i="166"/>
  <c r="G10" i="166"/>
  <c r="G11" i="166"/>
  <c r="G12" i="166"/>
  <c r="G13" i="166"/>
  <c r="G3" i="166"/>
  <c r="G3" i="165"/>
  <c r="G4" i="165"/>
  <c r="G5" i="165"/>
  <c r="G6" i="165"/>
  <c r="G10" i="165"/>
  <c r="G8" i="165"/>
  <c r="G9" i="165"/>
  <c r="G11" i="165"/>
  <c r="G12" i="165"/>
  <c r="G7" i="165"/>
  <c r="G9" i="164"/>
  <c r="G26" i="160" l="1"/>
  <c r="G27" i="160"/>
  <c r="G25" i="160" l="1"/>
  <c r="G8" i="164"/>
  <c r="E7" i="162"/>
  <c r="G24" i="160"/>
  <c r="G23" i="160"/>
  <c r="G7" i="164"/>
  <c r="G4" i="164"/>
  <c r="G5" i="164"/>
  <c r="G6" i="164"/>
  <c r="G3" i="164"/>
  <c r="G11" i="163" l="1"/>
  <c r="G10" i="163"/>
  <c r="G9" i="163"/>
  <c r="G8" i="163"/>
  <c r="G7" i="163"/>
  <c r="G6" i="163"/>
  <c r="G5" i="163"/>
  <c r="G4" i="163"/>
  <c r="G3" i="163"/>
  <c r="G9" i="162"/>
  <c r="G10" i="162"/>
  <c r="G11" i="162"/>
  <c r="G12" i="162"/>
  <c r="G13" i="162"/>
  <c r="G4" i="162"/>
  <c r="G5" i="162"/>
  <c r="G6" i="162"/>
  <c r="G7" i="162"/>
  <c r="G8" i="162"/>
  <c r="G3" i="162"/>
  <c r="G12" i="159" l="1"/>
  <c r="G11" i="159"/>
  <c r="G10" i="159"/>
  <c r="G9" i="159"/>
  <c r="G22" i="160" l="1"/>
  <c r="G21" i="160"/>
  <c r="E15" i="160"/>
  <c r="G20" i="160"/>
  <c r="G19" i="160"/>
  <c r="G18" i="160"/>
  <c r="G17" i="160"/>
  <c r="G16" i="160"/>
  <c r="G4" i="161"/>
  <c r="G3" i="161"/>
  <c r="G8" i="160"/>
  <c r="G9" i="160"/>
  <c r="G10" i="160"/>
  <c r="G11" i="160"/>
  <c r="G12" i="160"/>
  <c r="G13" i="160"/>
  <c r="G14" i="160"/>
  <c r="G15" i="160"/>
  <c r="G4" i="160"/>
  <c r="G5" i="160"/>
  <c r="G6" i="160"/>
  <c r="G7" i="160"/>
  <c r="G3" i="160"/>
  <c r="G4" i="159"/>
  <c r="G5" i="159"/>
  <c r="G6" i="159"/>
  <c r="G7" i="159"/>
  <c r="G8" i="159"/>
  <c r="G3" i="159"/>
</calcChain>
</file>

<file path=xl/sharedStrings.xml><?xml version="1.0" encoding="utf-8"?>
<sst xmlns="http://schemas.openxmlformats.org/spreadsheetml/2006/main" count="3344" uniqueCount="316">
  <si>
    <t>S/R #</t>
  </si>
  <si>
    <t>SEC</t>
  </si>
  <si>
    <t>MATERIAL DESCRIPTION</t>
  </si>
  <si>
    <t>RESERVATION</t>
  </si>
  <si>
    <t>RECEIVE QTY</t>
  </si>
  <si>
    <t>QTY USE</t>
  </si>
  <si>
    <t>BALANCE</t>
  </si>
  <si>
    <t>DATE RECEIVED</t>
  </si>
  <si>
    <t xml:space="preserve">MATERIALMAN </t>
  </si>
  <si>
    <t>DATE WITHDRAW</t>
  </si>
  <si>
    <t>FOREMAN NAME</t>
  </si>
  <si>
    <t>REMARKS</t>
  </si>
  <si>
    <t>LOCK PAD</t>
  </si>
  <si>
    <t>MIZAN</t>
  </si>
  <si>
    <t>TERM 4X70</t>
  </si>
  <si>
    <t>LUG 35 CU</t>
  </si>
  <si>
    <t>908202054</t>
  </si>
  <si>
    <t>908122034</t>
  </si>
  <si>
    <t xml:space="preserve">C CLAMP </t>
  </si>
  <si>
    <t>ROD,GROUND,16 MM DIA X 2400 MM LG,COPPER</t>
  </si>
  <si>
    <t>G CLAMP</t>
  </si>
  <si>
    <t>CONN,ELEC,TERM,CU,70SQMM CNDCTR</t>
  </si>
  <si>
    <t>TERM KIT,STR,1KV,4X300MM2,AL</t>
  </si>
  <si>
    <t>PLUG, INSULATING, DEADEND,100MM</t>
  </si>
  <si>
    <t>ADAPTER,CABLE ,SPLICE,35KV 600A</t>
  </si>
  <si>
    <t>SPRING TORSION, 1-3/4 IN, 1-3/4 IN OD,#EPP</t>
  </si>
  <si>
    <t>LUG 95CU</t>
  </si>
  <si>
    <t>905727976 301271318</t>
  </si>
  <si>
    <t>905711522 300524514</t>
  </si>
  <si>
    <t>905702039 300103969</t>
  </si>
  <si>
    <t>CONN,ELEC,EL,DEADBREAK#755BRL</t>
  </si>
  <si>
    <t>STUD,DBL ENDED 2-5/8 DIA</t>
  </si>
  <si>
    <t>GROWNG WIRE 70</t>
  </si>
  <si>
    <t>PILLAR,STL,LV,400A,5WAY,W/O BASE,BEIGE</t>
  </si>
  <si>
    <t>W/O 253111397</t>
  </si>
  <si>
    <t>W/O 253019048</t>
  </si>
  <si>
    <t>CONN,ELEC,SLV,BUTT,CU BODY CU CNDCTR</t>
  </si>
  <si>
    <t>SPRICING KIT CABLE HEAT SHRINK 36KV</t>
  </si>
  <si>
    <t>TERM KIT 4X185MM2,AL</t>
  </si>
  <si>
    <t>PANEL,DIST,OD,AL1600A,8CK6MCCB 400A</t>
  </si>
  <si>
    <t>TFMR,PD 500KVA 34.5KX</t>
  </si>
  <si>
    <t>W/O 253110291</t>
  </si>
  <si>
    <t>KWA 160A</t>
  </si>
  <si>
    <t>LUG 95 AL LONG</t>
  </si>
  <si>
    <t>05/01/2026 07/01/2026</t>
  </si>
  <si>
    <t>SWIRCHGAR,METAL,ENCLOSED,RMU</t>
  </si>
  <si>
    <t>CABLE 1X95 CU,</t>
  </si>
  <si>
    <t>GROUND WIRE 35 CU</t>
  </si>
  <si>
    <t>CB 150A</t>
  </si>
  <si>
    <t>HUSSAON</t>
  </si>
  <si>
    <t>908111005</t>
  </si>
  <si>
    <t>CABLE,PWR,600V/1KV,AL,4C,70MM2,XLPE</t>
  </si>
  <si>
    <t>908111007</t>
  </si>
  <si>
    <t>CABLE,PWR,600V/1KV,AL,4C,300MM2,XLPE</t>
  </si>
  <si>
    <t>W/O 213040142</t>
  </si>
  <si>
    <t>BT LUG 300</t>
  </si>
  <si>
    <t>W/O 253105843</t>
  </si>
  <si>
    <t>W/O 253009776</t>
  </si>
  <si>
    <t>KWA 100A</t>
  </si>
  <si>
    <t>SINGLE M, BOX STEEL</t>
  </si>
  <si>
    <t>CABLE 4X185</t>
  </si>
  <si>
    <t>SAIFUL</t>
  </si>
  <si>
    <t>CABLE 1X630 CU</t>
  </si>
  <si>
    <t>13/01/2026 14/01/2026</t>
  </si>
  <si>
    <t>SING;IDENTICATION</t>
  </si>
  <si>
    <t xml:space="preserve">CABLE 1X185 SQMM </t>
  </si>
  <si>
    <t>TERM KIT CABLE HEAT SHRINK 95MM</t>
  </si>
  <si>
    <t>LUG 1X85 CU</t>
  </si>
  <si>
    <t>W/O 243144111</t>
  </si>
  <si>
    <t>SPRICING KIT CABLE HEAT SHRINK INLINE 17</t>
  </si>
  <si>
    <t>CONN,ELEC,EL,DB</t>
  </si>
  <si>
    <t>TFMR,PD 500KVA 13.8KV</t>
  </si>
  <si>
    <t>TERM KIT CABLE HEAT SHRINK ,INDOOR</t>
  </si>
  <si>
    <t>W/O 253010005</t>
  </si>
  <si>
    <t>W/O 253007101</t>
  </si>
  <si>
    <t>W/O 25112092</t>
  </si>
  <si>
    <t>CB 70A</t>
  </si>
  <si>
    <t>W/O 253089846</t>
  </si>
  <si>
    <t>CABLE 3X70 AL</t>
  </si>
  <si>
    <t>CABLE,ELEC,CU,XLPE,95SQMM,1,#HFDE4201</t>
  </si>
  <si>
    <t>CABLE,PWR,600V/1KV,CU,1C,185MM2,XLPE</t>
  </si>
  <si>
    <t>COND,BR,CU,70SQMM,19STR,SOFT DRWN</t>
  </si>
  <si>
    <t>CONNECTOR,GRNDG,C,CU,100-125SQMMCU</t>
  </si>
  <si>
    <t>CONN,ELEC,TERM,AL,4/0 AWG STR CNDCTR,#03</t>
  </si>
  <si>
    <t>CONN,ELEC,EL,DEADBREAK,#755BLR</t>
  </si>
  <si>
    <t>STUD,DBL ENDED,2-5/8 IN DIA-B,#750SA</t>
  </si>
  <si>
    <t>CONN,ELEC,EL,DEADBREAK,#DT436</t>
  </si>
  <si>
    <t>SIGN:IDENTIFICATION,SAUDI ELECTRICITY CO</t>
  </si>
  <si>
    <t>LOCK,PAD,OPERATION,6MM,40MM,17.2MM,BRS</t>
  </si>
  <si>
    <t>BRAID:GROUNDING,12.7 MM WD X 4.57 M LG X</t>
  </si>
  <si>
    <t>SWITCHGEAR:METAL ENCLOSED,RMU, O/D, (2)</t>
  </si>
  <si>
    <t>TFMR,PD,1.5MVA,34.5KX400/230/133V,170KAL</t>
  </si>
  <si>
    <t>COND,BR,CU,35SQMM,7STR,SOFT DRWN</t>
  </si>
  <si>
    <t>CONN,ELEC,TERM,CU STR,35SQMM CNDCTR</t>
  </si>
  <si>
    <t>ADAPTER,CABLE, SPLICE,35 KV 600 A,1.095</t>
  </si>
  <si>
    <t>PLUG,INSULATING, DEAD END,100 MM DIA X 1</t>
  </si>
  <si>
    <t>SIGN,ELEC SFTY,DANGER HV,150X150X1.5MMTH</t>
  </si>
  <si>
    <t>SPRING,TORSION,1-3/4 IN,1-3/4 IN OD,#EPP</t>
  </si>
  <si>
    <t>SPLICE KIT:CABLE,HEAT SHRINK ,36 KV ,1 P</t>
  </si>
  <si>
    <t>CONN,ELEC,SLV,BUTT,CU BODY,CU CNDCTR,#MN</t>
  </si>
  <si>
    <t>CONNECTOR,SLV,185MM2 CU,TIN PLT CU</t>
  </si>
  <si>
    <t>CONNECTOR,LUG,185SQMM CU,(1)M16 BLT HL</t>
  </si>
  <si>
    <t>W/O 253033351</t>
  </si>
  <si>
    <t>MOSHRAF</t>
  </si>
  <si>
    <t>W/O 253032044</t>
  </si>
  <si>
    <t>W/O 253084458</t>
  </si>
  <si>
    <t xml:space="preserve">CABLE 1X95 CU, </t>
  </si>
  <si>
    <t xml:space="preserve">SCRAP RETURN </t>
  </si>
  <si>
    <t>11/01/2026 21/01/2026</t>
  </si>
  <si>
    <t>W/O 243130960</t>
  </si>
  <si>
    <t>CB 50A</t>
  </si>
  <si>
    <t>DOUBLE M,BOX</t>
  </si>
  <si>
    <t>W/O 253113537</t>
  </si>
  <si>
    <t>W/O 233014536</t>
  </si>
  <si>
    <t>CABLE 1X95 CU</t>
  </si>
  <si>
    <t>CABLE 3X70</t>
  </si>
  <si>
    <t>HUSSAIN</t>
  </si>
  <si>
    <t>17/01/2026 26/01/2026</t>
  </si>
  <si>
    <t>W/O 253105792</t>
  </si>
  <si>
    <t>W/O 263001737</t>
  </si>
  <si>
    <t>MCCB750VAC,100A</t>
  </si>
  <si>
    <t>3 WAY RMU</t>
  </si>
  <si>
    <t>RECIVE FROM QUICK STEP</t>
  </si>
  <si>
    <t>W/O 253105906</t>
  </si>
  <si>
    <t>CB 40A</t>
  </si>
  <si>
    <t>LUG 50 CU</t>
  </si>
  <si>
    <t>LUG 300 AL</t>
  </si>
  <si>
    <t>MCCB750VAC,30A</t>
  </si>
  <si>
    <t>CB 20A</t>
  </si>
  <si>
    <t>LUG 70 AL</t>
  </si>
  <si>
    <t>15/01/2026 28/01/2026</t>
  </si>
  <si>
    <t>W/O 253000104</t>
  </si>
  <si>
    <t>CB 100A</t>
  </si>
  <si>
    <t xml:space="preserve">REPLACE RMU </t>
  </si>
  <si>
    <t>28387154 28484825</t>
  </si>
  <si>
    <t>13/01/2026 29/01/2026</t>
  </si>
  <si>
    <t>14/01/2026 29/01/2026</t>
  </si>
  <si>
    <t>15/01/2026 29/01/2026</t>
  </si>
  <si>
    <t xml:space="preserve">15/01/2026 29/01/2026      </t>
  </si>
  <si>
    <t>28315180 28457745</t>
  </si>
  <si>
    <t>BOX,M,1CUST</t>
  </si>
  <si>
    <t>28/01/2026 01/02/2026</t>
  </si>
  <si>
    <t>28/01/2026 02/02/2026</t>
  </si>
  <si>
    <t>LUG 120 CU</t>
  </si>
  <si>
    <t>CABLE 4X185 AL</t>
  </si>
  <si>
    <t>W/O 243130645</t>
  </si>
  <si>
    <t>28/01/2026 03/02/2026</t>
  </si>
  <si>
    <t>02/02/2026 03/02/2026</t>
  </si>
  <si>
    <t>ADDITIONAL</t>
  </si>
  <si>
    <t>CONNECTOR ,LUG,185 AL</t>
  </si>
  <si>
    <t>W/O 263003969</t>
  </si>
  <si>
    <t>W/O 253070947</t>
  </si>
  <si>
    <t>24/01/2026 08/02/2026</t>
  </si>
  <si>
    <t>W/O 253031580</t>
  </si>
  <si>
    <t>JOINT KIT 4X70</t>
  </si>
  <si>
    <t>W/O 253112381</t>
  </si>
  <si>
    <t>W/O 253017357</t>
  </si>
  <si>
    <t>W/O 253115670</t>
  </si>
  <si>
    <t>W/O 263002669</t>
  </si>
  <si>
    <t>W/O 253104191</t>
  </si>
  <si>
    <t>11/02/2026 14/02/2026</t>
  </si>
  <si>
    <t>28419610 28578437</t>
  </si>
  <si>
    <t>21/01/2026 12/02/2026</t>
  </si>
  <si>
    <t>25/01/2026 12/02/2026</t>
  </si>
  <si>
    <t>24/01/2026 16/02/2026</t>
  </si>
  <si>
    <t>JOINT KIT 4X70 AL</t>
  </si>
  <si>
    <t xml:space="preserve">REMOTE BOX </t>
  </si>
  <si>
    <t>4 CUST BOX</t>
  </si>
  <si>
    <t>REMOVAL</t>
  </si>
  <si>
    <t>QTY</t>
  </si>
  <si>
    <t>W/O 253073786</t>
  </si>
  <si>
    <t>W/O 253012149</t>
  </si>
  <si>
    <t>W/O 263004982</t>
  </si>
  <si>
    <t>12/02/2026 19/02/2026</t>
  </si>
  <si>
    <t>28569148 28621997</t>
  </si>
  <si>
    <t>11/02/2026 24/02/2026</t>
  </si>
  <si>
    <t>W/O 253111632</t>
  </si>
  <si>
    <t xml:space="preserve">MIZAN </t>
  </si>
  <si>
    <t>TERM 4X185 MM2 AL</t>
  </si>
  <si>
    <t>04/02/2026 27/02/2026</t>
  </si>
  <si>
    <t>25/02/2026 28/02/2026</t>
  </si>
  <si>
    <t>W/O 263003403</t>
  </si>
  <si>
    <t>23/02/2026 01/03/2026</t>
  </si>
  <si>
    <t>W/O 263001494</t>
  </si>
  <si>
    <t>W/O 233048773</t>
  </si>
  <si>
    <t>BOX,M,1CUST OD ,RMT</t>
  </si>
  <si>
    <t>METER 1.5(6)A</t>
  </si>
  <si>
    <t>TFMR,CT,LV,3000/5A</t>
  </si>
  <si>
    <t>SHAID</t>
  </si>
  <si>
    <t>CABLE CONTROL 12CORE</t>
  </si>
  <si>
    <t>28510066 28694035</t>
  </si>
  <si>
    <t>03/02/2026 03/03/2026</t>
  </si>
  <si>
    <t>25/02/2026 05/03/2026</t>
  </si>
  <si>
    <t>W/O 263009498</t>
  </si>
  <si>
    <t>W/O 263000934</t>
  </si>
  <si>
    <t>W/O 253114372</t>
  </si>
  <si>
    <t>W/O 263010838</t>
  </si>
  <si>
    <t>W/O 253010514</t>
  </si>
  <si>
    <t>W/O 243057224</t>
  </si>
  <si>
    <t>PILLAR,STL,400A,5WAY,W/O BASE,BEIGE</t>
  </si>
  <si>
    <t>CLAMP,GRD,BRZ,35-70SQMM CU,16MM DIA CWLD</t>
  </si>
  <si>
    <t>CABLE,ELEC,AL,XLPE,70SQMM,3C</t>
  </si>
  <si>
    <t>TFMR,U/S,1MVA,13.8KV,400/230V,8CK,6MCCB</t>
  </si>
  <si>
    <t>RMU,SF6,13.8KV,400A,CB,3WAY,NON-EXT,OTDR</t>
  </si>
  <si>
    <t>CABLE,PWR,15KV,AL,3X500/35MM2,XLPE/LLDPE</t>
  </si>
  <si>
    <t>JOINT KIT,STR,PM,15KV,3X500/35MM2,AL,AR</t>
  </si>
  <si>
    <t>TERMINATION KIT:CABLE,HEAT/COLD SHRINK,I</t>
  </si>
  <si>
    <t>CONNECTOR,LUG,300MM2 AL,(1)M10 BLT HL</t>
  </si>
  <si>
    <t>03/03/2026 11/03/2026</t>
  </si>
  <si>
    <t>W/O 253011070</t>
  </si>
  <si>
    <t>CB 30A</t>
  </si>
  <si>
    <t>W/O 263009588</t>
  </si>
  <si>
    <t>W/O 263010938</t>
  </si>
  <si>
    <t>W/O 253025231</t>
  </si>
  <si>
    <t>28393646 28749262</t>
  </si>
  <si>
    <t>14/01/2026 15/03/2026</t>
  </si>
  <si>
    <t>10/03/2026 16/03/2026</t>
  </si>
  <si>
    <t>W/O 263010814</t>
  </si>
  <si>
    <t>CABLE ,ELEC,CU,CU,XLPE,500SQMM,1,#150010XF</t>
  </si>
  <si>
    <t>W/O 263007745</t>
  </si>
  <si>
    <t>SPRICING KIT CABLE HEAT SHRINK STRAIGHT</t>
  </si>
  <si>
    <t>TAKE FROM MAIN CIRCIT</t>
  </si>
  <si>
    <t>TERM KIT 3X500</t>
  </si>
  <si>
    <t>07/02/2026 17/03/2026</t>
  </si>
  <si>
    <t>W/O 253010429</t>
  </si>
  <si>
    <t>18/03/2026 24/03/2026</t>
  </si>
  <si>
    <t>W/O 243139816</t>
  </si>
  <si>
    <t>28609177 28807493</t>
  </si>
  <si>
    <t>23/02/2026 26/03/2026</t>
  </si>
  <si>
    <t>13/03/2026 28/03/2026</t>
  </si>
  <si>
    <t>W/O 263014838</t>
  </si>
  <si>
    <t>W/O 263014264</t>
  </si>
  <si>
    <t>W/O 263014269</t>
  </si>
  <si>
    <t>W/O 253035191</t>
  </si>
  <si>
    <t>W/O 263004224</t>
  </si>
  <si>
    <t>W/O 263011617</t>
  </si>
  <si>
    <t>RECIVE DATE</t>
  </si>
  <si>
    <t>08/03/2026 02/04/2026</t>
  </si>
  <si>
    <t>14/01/2026 02/04/2026</t>
  </si>
  <si>
    <t>18/03/2026 04/04/2026</t>
  </si>
  <si>
    <t>W/O 213044258</t>
  </si>
  <si>
    <t xml:space="preserve">MUKESH </t>
  </si>
  <si>
    <t>23/02/2026 06/04/2026</t>
  </si>
  <si>
    <t>02/04/2026 06/04/2026</t>
  </si>
  <si>
    <t>W/O 263008665</t>
  </si>
  <si>
    <t>W/O 253108613</t>
  </si>
  <si>
    <t>W/O 253036843</t>
  </si>
  <si>
    <t>04/04/2026 11/04/2026</t>
  </si>
  <si>
    <t>28732276 28916973</t>
  </si>
  <si>
    <t>02/03/2026 08/04/2026</t>
  </si>
  <si>
    <t>05/01/2026 07/04/2026</t>
  </si>
  <si>
    <t>02/04/2026 12/04/2026</t>
  </si>
  <si>
    <t>02/04/2026 13/04/2026</t>
  </si>
  <si>
    <t>04/04/2026 13/04/2026</t>
  </si>
  <si>
    <t>W/O 263018066</t>
  </si>
  <si>
    <t>INDICATOR,FAULT,400A, MAXCC,</t>
  </si>
  <si>
    <t>METER,SESERV,CT,VT,1.5(6)A</t>
  </si>
  <si>
    <t>LOCK CYLINDER,BRS,17WDX45DPX33MM</t>
  </si>
  <si>
    <t>JOINT KIT 3X500</t>
  </si>
  <si>
    <t>ROD,GROUND,16 MM DIA X 1200 MM LG,COPPER</t>
  </si>
  <si>
    <t>908202189</t>
  </si>
  <si>
    <t>BOX,M,1,CUST RMT,380V VOLT</t>
  </si>
  <si>
    <t>908202056</t>
  </si>
  <si>
    <t>908202030</t>
  </si>
  <si>
    <t xml:space="preserve">CABLE 3X500 AL </t>
  </si>
  <si>
    <t>SWGR,SMART RMU 13.8KV 400A</t>
  </si>
  <si>
    <t>W/O 233014504</t>
  </si>
  <si>
    <t>02/04/2026 05/04/2026</t>
  </si>
  <si>
    <t>MAKHBOR</t>
  </si>
  <si>
    <t>MUKESH</t>
  </si>
  <si>
    <t>11/04/2026 14/04/2026</t>
  </si>
  <si>
    <t>05/01/2026 15/04/2026</t>
  </si>
  <si>
    <t>CB 100 A</t>
  </si>
  <si>
    <t>W/O 263080750</t>
  </si>
  <si>
    <t>W/O 243144292</t>
  </si>
  <si>
    <t>TERM KIT 4X185 MM2</t>
  </si>
  <si>
    <t>W/O 253077642</t>
  </si>
  <si>
    <t>W/O 253087667</t>
  </si>
  <si>
    <t>W/O 263018938</t>
  </si>
  <si>
    <t>W/O 263011939</t>
  </si>
  <si>
    <t>W/O 263022073</t>
  </si>
  <si>
    <t>LUG 70 CU</t>
  </si>
  <si>
    <t>908121144</t>
  </si>
  <si>
    <t>908111102</t>
  </si>
  <si>
    <t>14/04/2026 19/04/2026</t>
  </si>
  <si>
    <t>908121152</t>
  </si>
  <si>
    <t>TERM KIT,STR,PM,15KV,3X500/35MM2,AL,I/D</t>
  </si>
  <si>
    <t>CONN,ELEC,SLV,TENSION,CU BODY,CU CNDCTR</t>
  </si>
  <si>
    <t>19/04/2026 20/04/2026</t>
  </si>
  <si>
    <t>W/O 223015469</t>
  </si>
  <si>
    <t>W/O 263022537</t>
  </si>
  <si>
    <t>CABLE CONTROL 2CORE</t>
  </si>
  <si>
    <t>SWGR,SMART RMU OD,2LBS+1CB,13.8KV 400A</t>
  </si>
  <si>
    <t>W/O 263022543</t>
  </si>
  <si>
    <t>28341480 29013980</t>
  </si>
  <si>
    <t>05/01/2026 22/04/2026</t>
  </si>
  <si>
    <t>SWGHR,SMART,RMU,2LBS+1CB,13.8KV</t>
  </si>
  <si>
    <t>W/O 263022070</t>
  </si>
  <si>
    <t>11/01/2026 24/04/2026</t>
  </si>
  <si>
    <t>15/01/2026 25/04/2026</t>
  </si>
  <si>
    <t>GROUND WIRE 70 CU</t>
  </si>
  <si>
    <t>SAIFUL SURYA</t>
  </si>
  <si>
    <t>15/01/2026 26/04/2026</t>
  </si>
  <si>
    <t>SURYA</t>
  </si>
  <si>
    <t>15/01/2026 26/04/2026 27/04/2026</t>
  </si>
  <si>
    <t>08/03/2026 27/04/2026</t>
  </si>
  <si>
    <t>12/03/2026 27/04/2026</t>
  </si>
  <si>
    <t>10/03/2026 28/04/2026</t>
  </si>
  <si>
    <t>W/O 253107226</t>
  </si>
  <si>
    <t>W/O 263024207</t>
  </si>
  <si>
    <t>CONTROL CABLE 2CORE</t>
  </si>
  <si>
    <t>JOINT KIT 3X500 AL</t>
  </si>
  <si>
    <t>20/04/2026 29/04/2026</t>
  </si>
  <si>
    <t>2904/2026</t>
  </si>
  <si>
    <t>W/O 263021880</t>
  </si>
  <si>
    <t>SWGHGEAR,MATAL,ENCLOSED,RMU,O/D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</si>
</sst>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Arial"/>
      <family val="2"/>
    </font>
    <font>
      <b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6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/>
    <xf numFmtId="14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11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3" fontId="13" fillId="5" borderId="1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" xfId="2" applyNumberFormat="1" applyFont="1" applyBorder="1" applyAlignment="1">
      <alignment horizontal="center" vertical="center"/>
    </xf>
    <xf numFmtId="3" fontId="13" fillId="0" borderId="1" xfId="2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14" fontId="13" fillId="0" borderId="1" xfId="2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14" fontId="9" fillId="0" borderId="3" xfId="0" applyNumberFormat="1" applyFont="1" applyBorder="1" applyAlignment="1">
      <alignment horizontal="center" vertical="top" wrapText="1"/>
    </xf>
    <xf numFmtId="0" fontId="2" fillId="3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91B4-09CA-481F-A1C7-63434E83E2B7}">
  <dimension ref="A1:L6"/>
  <sheetViews>
    <sheetView zoomScale="78" zoomScaleNormal="78" workbookViewId="0">
      <selection activeCell="C16" sqref="C16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314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905773280</v>
      </c>
      <c r="C3" s="11" t="s">
        <v>315</v>
      </c>
      <c r="D3" s="5">
        <v>29039700</v>
      </c>
      <c r="E3" s="4">
        <v>10</v>
      </c>
      <c r="F3" s="14"/>
      <c r="G3" s="6">
        <f>E3-F3</f>
        <v>10</v>
      </c>
      <c r="H3" s="7">
        <v>46141</v>
      </c>
      <c r="I3" s="8" t="s">
        <v>13</v>
      </c>
      <c r="J3" s="9"/>
      <c r="K3" s="4"/>
      <c r="L3" s="11"/>
    </row>
    <row r="4" spans="1:12" ht="28.5" x14ac:dyDescent="0.25">
      <c r="A4" s="4">
        <v>2</v>
      </c>
      <c r="B4" s="10">
        <v>908122034</v>
      </c>
      <c r="C4" s="11" t="s">
        <v>281</v>
      </c>
      <c r="D4" s="5">
        <v>29039700</v>
      </c>
      <c r="E4" s="4">
        <v>80</v>
      </c>
      <c r="F4" s="14"/>
      <c r="G4" s="6">
        <f>E4-F4</f>
        <v>80</v>
      </c>
      <c r="H4" s="7">
        <v>46141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0" t="s">
        <v>16</v>
      </c>
      <c r="C5" s="11" t="s">
        <v>19</v>
      </c>
      <c r="D5" s="5">
        <v>29039700</v>
      </c>
      <c r="E5" s="4">
        <v>80</v>
      </c>
      <c r="F5" s="14"/>
      <c r="G5" s="6">
        <f>E5-F5</f>
        <v>80</v>
      </c>
      <c r="H5" s="7">
        <v>46141</v>
      </c>
      <c r="I5" s="8" t="s">
        <v>13</v>
      </c>
      <c r="J5" s="9"/>
      <c r="K5" s="4"/>
      <c r="L5" s="11"/>
    </row>
    <row r="6" spans="1:12" ht="28.5" x14ac:dyDescent="0.25">
      <c r="A6" s="4">
        <v>4</v>
      </c>
      <c r="B6" s="10">
        <v>908202189</v>
      </c>
      <c r="C6" s="11" t="s">
        <v>18</v>
      </c>
      <c r="D6" s="5">
        <v>29039700</v>
      </c>
      <c r="E6" s="4">
        <v>240</v>
      </c>
      <c r="F6" s="14"/>
      <c r="G6" s="6">
        <f>E6-F6</f>
        <v>240</v>
      </c>
      <c r="H6" s="7">
        <v>46141</v>
      </c>
      <c r="I6" s="8" t="s">
        <v>13</v>
      </c>
      <c r="J6" s="9"/>
      <c r="K6" s="4"/>
      <c r="L6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1EAE-3DA2-4B5E-B044-CA714FE416A1}">
  <dimension ref="A1:L8"/>
  <sheetViews>
    <sheetView zoomScale="78" zoomScaleNormal="78" workbookViewId="0">
      <selection activeCell="E17" sqref="E17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309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908111011</v>
      </c>
      <c r="C3" s="11" t="s">
        <v>310</v>
      </c>
      <c r="D3" s="5">
        <v>29039685</v>
      </c>
      <c r="E3" s="4">
        <v>77</v>
      </c>
      <c r="F3" s="14"/>
      <c r="G3" s="6">
        <f>E3-F3</f>
        <v>77</v>
      </c>
      <c r="H3" s="7">
        <v>46139</v>
      </c>
      <c r="I3" s="8" t="s">
        <v>13</v>
      </c>
      <c r="J3" s="9"/>
      <c r="K3" s="4"/>
      <c r="L3" s="11"/>
    </row>
    <row r="4" spans="1:12" ht="28.5" x14ac:dyDescent="0.25">
      <c r="A4" s="4">
        <v>2</v>
      </c>
      <c r="B4" s="10">
        <v>908121150</v>
      </c>
      <c r="C4" s="11" t="s">
        <v>311</v>
      </c>
      <c r="D4" s="5">
        <v>29039685</v>
      </c>
      <c r="E4" s="4">
        <v>10</v>
      </c>
      <c r="F4" s="14"/>
      <c r="G4" s="6">
        <f t="shared" ref="G4:G7" si="0">E4-F4</f>
        <v>10</v>
      </c>
      <c r="H4" s="7">
        <v>46139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0" t="s">
        <v>282</v>
      </c>
      <c r="C5" s="11" t="s">
        <v>70</v>
      </c>
      <c r="D5" s="5">
        <v>29039685</v>
      </c>
      <c r="E5" s="4">
        <v>28</v>
      </c>
      <c r="F5" s="14"/>
      <c r="G5" s="6">
        <f t="shared" si="0"/>
        <v>28</v>
      </c>
      <c r="H5" s="7">
        <v>46139</v>
      </c>
      <c r="I5" s="8" t="s">
        <v>13</v>
      </c>
      <c r="J5" s="9"/>
      <c r="K5" s="4"/>
      <c r="L5" s="11"/>
    </row>
    <row r="6" spans="1:12" ht="28.5" x14ac:dyDescent="0.25">
      <c r="A6" s="4">
        <v>4</v>
      </c>
      <c r="B6" s="10">
        <v>908121140</v>
      </c>
      <c r="C6" s="11" t="s">
        <v>70</v>
      </c>
      <c r="D6" s="5">
        <v>29039685</v>
      </c>
      <c r="E6" s="4">
        <v>15</v>
      </c>
      <c r="F6" s="14"/>
      <c r="G6" s="6">
        <f t="shared" si="0"/>
        <v>15</v>
      </c>
      <c r="H6" s="7">
        <v>46139</v>
      </c>
      <c r="I6" s="8" t="s">
        <v>13</v>
      </c>
      <c r="J6" s="9"/>
      <c r="K6" s="4"/>
      <c r="L6" s="11"/>
    </row>
    <row r="7" spans="1:12" ht="28.5" x14ac:dyDescent="0.25">
      <c r="A7" s="4">
        <v>5</v>
      </c>
      <c r="B7" s="10">
        <v>908321230</v>
      </c>
      <c r="C7" s="11" t="s">
        <v>296</v>
      </c>
      <c r="D7" s="5">
        <v>29039685</v>
      </c>
      <c r="E7" s="4">
        <v>1</v>
      </c>
      <c r="F7" s="14"/>
      <c r="G7" s="6">
        <f t="shared" si="0"/>
        <v>1</v>
      </c>
      <c r="H7" s="7">
        <v>46139</v>
      </c>
      <c r="I7" s="8" t="s">
        <v>13</v>
      </c>
      <c r="J7" s="9"/>
      <c r="K7" s="4"/>
      <c r="L7" s="11"/>
    </row>
    <row r="8" spans="1:12" ht="28.5" x14ac:dyDescent="0.25">
      <c r="A8" s="4"/>
      <c r="B8" s="10"/>
      <c r="C8" s="11"/>
      <c r="D8" s="5"/>
      <c r="E8" s="4"/>
      <c r="F8" s="14"/>
      <c r="G8" s="6"/>
      <c r="H8" s="7"/>
      <c r="I8" s="8"/>
      <c r="J8" s="9"/>
      <c r="K8" s="4"/>
      <c r="L8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8235-02B5-41F3-9FD8-6AC4A0B79747}">
  <dimension ref="A1:L5"/>
  <sheetViews>
    <sheetView zoomScale="78" zoomScaleNormal="78" workbookViewId="0">
      <selection activeCell="B5" sqref="B5:C5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308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908121008</v>
      </c>
      <c r="C3" s="11" t="s">
        <v>14</v>
      </c>
      <c r="D3" s="5">
        <v>29045028</v>
      </c>
      <c r="E3" s="4">
        <v>2</v>
      </c>
      <c r="F3" s="14"/>
      <c r="G3" s="6">
        <f>E3-F3</f>
        <v>2</v>
      </c>
      <c r="H3" s="7">
        <v>46139</v>
      </c>
      <c r="I3" s="8" t="s">
        <v>13</v>
      </c>
      <c r="J3" s="9"/>
      <c r="K3" s="4"/>
      <c r="L3" s="11"/>
    </row>
    <row r="4" spans="1:12" ht="28.5" x14ac:dyDescent="0.25">
      <c r="A4" s="4">
        <v>2</v>
      </c>
      <c r="B4" s="10" t="s">
        <v>16</v>
      </c>
      <c r="C4" s="11" t="s">
        <v>19</v>
      </c>
      <c r="D4" s="5">
        <v>29045028</v>
      </c>
      <c r="E4" s="4">
        <v>2</v>
      </c>
      <c r="F4" s="14"/>
      <c r="G4" s="6">
        <f>E4-F4</f>
        <v>2</v>
      </c>
      <c r="H4" s="7">
        <v>46139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0">
        <v>908202189</v>
      </c>
      <c r="C5" s="11" t="s">
        <v>18</v>
      </c>
      <c r="D5" s="5">
        <v>29045028</v>
      </c>
      <c r="E5" s="4">
        <v>2</v>
      </c>
      <c r="F5" s="14"/>
      <c r="G5" s="6">
        <f>E5-F5</f>
        <v>2</v>
      </c>
      <c r="H5" s="7">
        <v>46139</v>
      </c>
      <c r="I5" s="8" t="s">
        <v>13</v>
      </c>
      <c r="J5" s="9"/>
      <c r="K5" s="4"/>
      <c r="L5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6E7E-B025-40CC-AFAD-B052AAD98291}">
  <dimension ref="A1:L8"/>
  <sheetViews>
    <sheetView zoomScale="78" zoomScaleNormal="78" workbookViewId="0">
      <selection activeCell="B3" sqref="B3:C3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297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908122034</v>
      </c>
      <c r="C3" s="11" t="s">
        <v>281</v>
      </c>
      <c r="D3" s="5">
        <v>28996949</v>
      </c>
      <c r="E3" s="4">
        <v>8</v>
      </c>
      <c r="F3" s="14"/>
      <c r="G3" s="6">
        <f>E3-F3</f>
        <v>8</v>
      </c>
      <c r="H3" s="7">
        <v>46133</v>
      </c>
      <c r="I3" s="8" t="s">
        <v>13</v>
      </c>
      <c r="J3" s="9"/>
      <c r="K3" s="4"/>
      <c r="L3" s="11"/>
    </row>
    <row r="4" spans="1:12" ht="28.5" x14ac:dyDescent="0.25">
      <c r="A4" s="4">
        <v>2</v>
      </c>
      <c r="B4" s="12">
        <v>908202189</v>
      </c>
      <c r="C4" s="11" t="s">
        <v>18</v>
      </c>
      <c r="D4" s="5">
        <v>28996949</v>
      </c>
      <c r="E4" s="4">
        <v>10</v>
      </c>
      <c r="F4" s="14"/>
      <c r="G4" s="6">
        <f t="shared" ref="G4:G8" si="0">E4-F4</f>
        <v>10</v>
      </c>
      <c r="H4" s="7">
        <v>46133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0" t="s">
        <v>16</v>
      </c>
      <c r="C5" s="11" t="s">
        <v>19</v>
      </c>
      <c r="D5" s="5">
        <v>28996949</v>
      </c>
      <c r="E5" s="4">
        <v>8</v>
      </c>
      <c r="F5" s="14"/>
      <c r="G5" s="6">
        <f t="shared" si="0"/>
        <v>8</v>
      </c>
      <c r="H5" s="7">
        <v>46133</v>
      </c>
      <c r="I5" s="8" t="s">
        <v>13</v>
      </c>
      <c r="J5" s="9"/>
      <c r="K5" s="4"/>
      <c r="L5" s="11"/>
    </row>
    <row r="6" spans="1:12" ht="28.5" x14ac:dyDescent="0.25">
      <c r="A6" s="4">
        <v>4</v>
      </c>
      <c r="B6" s="10" t="s">
        <v>282</v>
      </c>
      <c r="C6" s="11" t="s">
        <v>70</v>
      </c>
      <c r="D6" s="5">
        <v>28996949</v>
      </c>
      <c r="E6" s="4">
        <v>6</v>
      </c>
      <c r="F6" s="14"/>
      <c r="G6" s="6">
        <f t="shared" si="0"/>
        <v>6</v>
      </c>
      <c r="H6" s="7">
        <v>46133</v>
      </c>
      <c r="I6" s="8" t="s">
        <v>13</v>
      </c>
      <c r="J6" s="9"/>
      <c r="K6" s="4"/>
      <c r="L6" s="11"/>
    </row>
    <row r="7" spans="1:12" ht="28.5" x14ac:dyDescent="0.25">
      <c r="A7" s="4">
        <v>5</v>
      </c>
      <c r="B7" s="10">
        <v>908321230</v>
      </c>
      <c r="C7" s="11" t="s">
        <v>296</v>
      </c>
      <c r="D7" s="5">
        <v>28996949</v>
      </c>
      <c r="E7" s="4">
        <v>2</v>
      </c>
      <c r="F7" s="14"/>
      <c r="G7" s="6">
        <f t="shared" si="0"/>
        <v>2</v>
      </c>
      <c r="H7" s="7">
        <v>46133</v>
      </c>
      <c r="I7" s="8" t="s">
        <v>13</v>
      </c>
      <c r="J7" s="9"/>
      <c r="K7" s="4"/>
      <c r="L7" s="11"/>
    </row>
    <row r="8" spans="1:12" ht="28.5" x14ac:dyDescent="0.25">
      <c r="A8" s="4"/>
      <c r="B8" s="10">
        <v>908111102</v>
      </c>
      <c r="C8" s="11" t="s">
        <v>300</v>
      </c>
      <c r="D8" s="5">
        <v>28996949</v>
      </c>
      <c r="E8" s="4">
        <v>50</v>
      </c>
      <c r="F8" s="14"/>
      <c r="G8" s="6">
        <f t="shared" si="0"/>
        <v>50</v>
      </c>
      <c r="H8" s="7">
        <v>46132</v>
      </c>
      <c r="I8" s="8" t="s">
        <v>13</v>
      </c>
      <c r="J8" s="9"/>
      <c r="K8" s="4"/>
      <c r="L8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4E3C-F743-49B4-A4E4-393A5D019E18}">
  <dimension ref="A1:L8"/>
  <sheetViews>
    <sheetView zoomScale="78" zoomScaleNormal="78" workbookViewId="0">
      <selection activeCell="C18" sqref="C1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293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6.25" x14ac:dyDescent="0.25">
      <c r="A3" s="4">
        <v>1</v>
      </c>
      <c r="B3" s="12">
        <v>908121040</v>
      </c>
      <c r="C3" s="34" t="s">
        <v>70</v>
      </c>
      <c r="D3" s="12">
        <v>28968866</v>
      </c>
      <c r="E3" s="4">
        <v>2</v>
      </c>
      <c r="F3" s="38"/>
      <c r="G3" s="39">
        <f>E3-F3</f>
        <v>2</v>
      </c>
      <c r="H3" s="41">
        <v>46132</v>
      </c>
      <c r="I3" s="8" t="s">
        <v>13</v>
      </c>
      <c r="J3" s="9"/>
      <c r="K3" s="4"/>
      <c r="L3" s="11"/>
    </row>
    <row r="4" spans="1:12" ht="26.25" x14ac:dyDescent="0.25">
      <c r="A4" s="4">
        <v>2</v>
      </c>
      <c r="B4" s="12">
        <v>908121144</v>
      </c>
      <c r="C4" s="34" t="s">
        <v>70</v>
      </c>
      <c r="D4" s="12">
        <v>28968866</v>
      </c>
      <c r="E4" s="4">
        <v>4</v>
      </c>
      <c r="F4" s="38"/>
      <c r="G4" s="39">
        <f t="shared" ref="G4:G8" si="0">E4-F4</f>
        <v>4</v>
      </c>
      <c r="H4" s="41">
        <v>46132</v>
      </c>
      <c r="I4" s="8" t="s">
        <v>13</v>
      </c>
      <c r="J4" s="42"/>
      <c r="K4" s="43"/>
      <c r="L4" s="11"/>
    </row>
    <row r="5" spans="1:12" ht="26.25" x14ac:dyDescent="0.25">
      <c r="A5" s="4">
        <v>3</v>
      </c>
      <c r="B5" s="12">
        <v>908121150</v>
      </c>
      <c r="C5" s="34" t="s">
        <v>258</v>
      </c>
      <c r="D5" s="12">
        <v>28968866</v>
      </c>
      <c r="E5" s="4">
        <v>4</v>
      </c>
      <c r="F5" s="38"/>
      <c r="G5" s="39">
        <f t="shared" si="0"/>
        <v>4</v>
      </c>
      <c r="H5" s="41">
        <v>46132</v>
      </c>
      <c r="I5" s="8" t="s">
        <v>13</v>
      </c>
      <c r="J5" s="42"/>
      <c r="K5" s="43"/>
      <c r="L5" s="11"/>
    </row>
    <row r="6" spans="1:12" ht="26.25" x14ac:dyDescent="0.25">
      <c r="A6" s="4">
        <v>4</v>
      </c>
      <c r="B6" s="12">
        <v>908114004</v>
      </c>
      <c r="C6" s="12" t="s">
        <v>264</v>
      </c>
      <c r="D6" s="12">
        <v>28968866</v>
      </c>
      <c r="E6" s="40">
        <v>40</v>
      </c>
      <c r="F6" s="38"/>
      <c r="G6" s="39">
        <f t="shared" si="0"/>
        <v>40</v>
      </c>
      <c r="H6" s="41"/>
      <c r="I6" s="8"/>
      <c r="J6" s="45"/>
      <c r="K6" s="43"/>
      <c r="L6" s="11"/>
    </row>
    <row r="7" spans="1:12" ht="28.5" x14ac:dyDescent="0.25">
      <c r="A7" s="4">
        <v>5</v>
      </c>
      <c r="B7" s="12">
        <v>908321106</v>
      </c>
      <c r="C7" s="12" t="s">
        <v>292</v>
      </c>
      <c r="D7" s="12">
        <v>28968866</v>
      </c>
      <c r="E7" s="4">
        <v>1</v>
      </c>
      <c r="F7" s="14"/>
      <c r="G7" s="39">
        <f t="shared" si="0"/>
        <v>1</v>
      </c>
      <c r="H7" s="41">
        <v>46132</v>
      </c>
      <c r="I7" s="8" t="s">
        <v>13</v>
      </c>
      <c r="J7" s="42"/>
      <c r="K7" s="42"/>
      <c r="L7" s="11"/>
    </row>
    <row r="8" spans="1:12" ht="28.5" x14ac:dyDescent="0.25">
      <c r="A8" s="4">
        <v>6</v>
      </c>
      <c r="B8" s="12">
        <v>908111011</v>
      </c>
      <c r="C8" s="12" t="s">
        <v>291</v>
      </c>
      <c r="D8" s="12">
        <v>28968866</v>
      </c>
      <c r="E8" s="4">
        <v>14</v>
      </c>
      <c r="F8" s="14"/>
      <c r="G8" s="39">
        <f t="shared" si="0"/>
        <v>14</v>
      </c>
      <c r="H8" s="41">
        <v>46132</v>
      </c>
      <c r="I8" s="8" t="s">
        <v>13</v>
      </c>
      <c r="J8" s="9"/>
      <c r="K8" s="4"/>
      <c r="L8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5CB4-241D-4135-BDBB-99461AB2A152}">
  <dimension ref="A1:L8"/>
  <sheetViews>
    <sheetView zoomScale="78" zoomScaleNormal="78" workbookViewId="0">
      <selection activeCell="C30" sqref="C30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290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6.25" x14ac:dyDescent="0.25">
      <c r="A3" s="4">
        <v>1</v>
      </c>
      <c r="B3" s="12">
        <v>908121040</v>
      </c>
      <c r="C3" s="34" t="s">
        <v>70</v>
      </c>
      <c r="D3" s="12">
        <v>28968661</v>
      </c>
      <c r="E3" s="4">
        <v>3</v>
      </c>
      <c r="F3" s="38"/>
      <c r="G3" s="39">
        <f>E3-F3</f>
        <v>3</v>
      </c>
      <c r="H3" s="41">
        <v>46132</v>
      </c>
      <c r="I3" s="8" t="s">
        <v>13</v>
      </c>
      <c r="J3" s="9"/>
      <c r="K3" s="4"/>
      <c r="L3" s="11"/>
    </row>
    <row r="4" spans="1:12" ht="26.25" x14ac:dyDescent="0.25">
      <c r="A4" s="4">
        <v>2</v>
      </c>
      <c r="B4" s="12">
        <v>908121144</v>
      </c>
      <c r="C4" s="34" t="s">
        <v>70</v>
      </c>
      <c r="D4" s="12">
        <v>28968661</v>
      </c>
      <c r="E4" s="4">
        <v>6</v>
      </c>
      <c r="F4" s="38"/>
      <c r="G4" s="39">
        <f t="shared" ref="G4:G8" si="0">E4-F4</f>
        <v>6</v>
      </c>
      <c r="H4" s="41">
        <v>46132</v>
      </c>
      <c r="I4" s="8" t="s">
        <v>13</v>
      </c>
      <c r="J4" s="42"/>
      <c r="K4" s="43"/>
      <c r="L4" s="11"/>
    </row>
    <row r="5" spans="1:12" ht="26.25" x14ac:dyDescent="0.25">
      <c r="A5" s="4">
        <v>3</v>
      </c>
      <c r="B5" s="12">
        <v>908121150</v>
      </c>
      <c r="C5" s="34" t="s">
        <v>258</v>
      </c>
      <c r="D5" s="12">
        <v>28968661</v>
      </c>
      <c r="E5" s="4">
        <v>6</v>
      </c>
      <c r="F5" s="38"/>
      <c r="G5" s="39">
        <f t="shared" si="0"/>
        <v>6</v>
      </c>
      <c r="H5" s="41">
        <v>46132</v>
      </c>
      <c r="I5" s="8" t="s">
        <v>13</v>
      </c>
      <c r="J5" s="42"/>
      <c r="K5" s="43"/>
      <c r="L5" s="11"/>
    </row>
    <row r="6" spans="1:12" ht="26.25" x14ac:dyDescent="0.25">
      <c r="A6" s="4">
        <v>4</v>
      </c>
      <c r="B6" s="12">
        <v>908114004</v>
      </c>
      <c r="C6" s="12" t="s">
        <v>264</v>
      </c>
      <c r="D6" s="12">
        <v>28968661</v>
      </c>
      <c r="E6" s="40">
        <v>90</v>
      </c>
      <c r="F6" s="38"/>
      <c r="G6" s="39">
        <f t="shared" si="0"/>
        <v>90</v>
      </c>
      <c r="H6" s="41"/>
      <c r="I6" s="8"/>
      <c r="J6" s="45"/>
      <c r="K6" s="43"/>
      <c r="L6" s="11"/>
    </row>
    <row r="7" spans="1:12" ht="28.5" x14ac:dyDescent="0.25">
      <c r="A7" s="4">
        <v>5</v>
      </c>
      <c r="B7" s="12">
        <v>908321106</v>
      </c>
      <c r="C7" s="12" t="s">
        <v>292</v>
      </c>
      <c r="D7" s="12">
        <v>28968661</v>
      </c>
      <c r="E7" s="4">
        <v>3</v>
      </c>
      <c r="F7" s="14"/>
      <c r="G7" s="39">
        <f t="shared" si="0"/>
        <v>3</v>
      </c>
      <c r="H7" s="41">
        <v>46132</v>
      </c>
      <c r="I7" s="8" t="s">
        <v>13</v>
      </c>
      <c r="J7" s="42"/>
      <c r="K7" s="42"/>
      <c r="L7" s="11"/>
    </row>
    <row r="8" spans="1:12" ht="28.5" x14ac:dyDescent="0.25">
      <c r="A8" s="4">
        <v>6</v>
      </c>
      <c r="B8" s="12">
        <v>908111011</v>
      </c>
      <c r="C8" s="12" t="s">
        <v>291</v>
      </c>
      <c r="D8" s="12">
        <v>28968661</v>
      </c>
      <c r="E8" s="4">
        <v>21</v>
      </c>
      <c r="F8" s="14"/>
      <c r="G8" s="39">
        <f t="shared" si="0"/>
        <v>21</v>
      </c>
      <c r="H8" s="41">
        <v>46132</v>
      </c>
      <c r="I8" s="8" t="s">
        <v>13</v>
      </c>
      <c r="J8" s="9"/>
      <c r="K8" s="4"/>
      <c r="L8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BD34-DE7A-4E7B-8142-BAB280985926}">
  <dimension ref="A1:L14"/>
  <sheetViews>
    <sheetView zoomScale="78" zoomScaleNormal="78" workbookViewId="0">
      <selection activeCell="H21" sqref="H2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289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28983188</v>
      </c>
      <c r="E3" s="4">
        <v>33</v>
      </c>
      <c r="F3" s="14">
        <v>27</v>
      </c>
      <c r="G3" s="6">
        <f>E3-F3</f>
        <v>6</v>
      </c>
      <c r="H3" s="7">
        <v>46132</v>
      </c>
      <c r="I3" s="8" t="s">
        <v>13</v>
      </c>
      <c r="J3" s="9">
        <v>46133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28983188</v>
      </c>
      <c r="E4" s="4">
        <v>18</v>
      </c>
      <c r="F4" s="14"/>
      <c r="G4" s="6">
        <f t="shared" ref="G4:G13" si="0">E4-F4</f>
        <v>18</v>
      </c>
      <c r="H4" s="7">
        <v>46132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0">
        <v>908121008</v>
      </c>
      <c r="C5" s="11" t="s">
        <v>14</v>
      </c>
      <c r="D5" s="5">
        <v>28983188</v>
      </c>
      <c r="E5" s="4">
        <v>2</v>
      </c>
      <c r="F5" s="14"/>
      <c r="G5" s="6">
        <f t="shared" si="0"/>
        <v>2</v>
      </c>
      <c r="H5" s="7">
        <v>46132</v>
      </c>
      <c r="I5" s="8" t="s">
        <v>13</v>
      </c>
      <c r="J5" s="9"/>
      <c r="K5" s="4"/>
      <c r="L5" s="11"/>
    </row>
    <row r="6" spans="1:12" ht="28.5" x14ac:dyDescent="0.25">
      <c r="A6" s="4">
        <v>4</v>
      </c>
      <c r="B6" s="10">
        <v>908121010</v>
      </c>
      <c r="C6" s="11" t="s">
        <v>22</v>
      </c>
      <c r="D6" s="5">
        <v>28983188</v>
      </c>
      <c r="E6" s="4">
        <v>2</v>
      </c>
      <c r="F6" s="14">
        <v>1</v>
      </c>
      <c r="G6" s="6">
        <f t="shared" si="0"/>
        <v>1</v>
      </c>
      <c r="H6" s="7">
        <v>46132</v>
      </c>
      <c r="I6" s="8" t="s">
        <v>13</v>
      </c>
      <c r="J6" s="9">
        <v>46141</v>
      </c>
      <c r="K6" s="4" t="s">
        <v>116</v>
      </c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>
        <v>28983188</v>
      </c>
      <c r="E7" s="4">
        <v>3</v>
      </c>
      <c r="F7" s="14">
        <v>3</v>
      </c>
      <c r="G7" s="6">
        <f t="shared" si="0"/>
        <v>0</v>
      </c>
      <c r="H7" s="7">
        <v>46132</v>
      </c>
      <c r="I7" s="8" t="s">
        <v>13</v>
      </c>
      <c r="J7" s="9">
        <v>46141</v>
      </c>
      <c r="K7" s="4" t="s">
        <v>116</v>
      </c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28983188</v>
      </c>
      <c r="E8" s="4">
        <v>2</v>
      </c>
      <c r="F8" s="14"/>
      <c r="G8" s="6">
        <f t="shared" si="0"/>
        <v>2</v>
      </c>
      <c r="H8" s="7">
        <v>46132</v>
      </c>
      <c r="I8" s="8" t="s">
        <v>13</v>
      </c>
      <c r="J8" s="9"/>
      <c r="K8" s="4"/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>
        <v>28983188</v>
      </c>
      <c r="E9" s="4">
        <v>6</v>
      </c>
      <c r="F9" s="14"/>
      <c r="G9" s="6">
        <f t="shared" si="0"/>
        <v>6</v>
      </c>
      <c r="H9" s="7">
        <v>46131</v>
      </c>
      <c r="I9" s="8" t="s">
        <v>13</v>
      </c>
      <c r="J9" s="9"/>
      <c r="K9" s="4"/>
      <c r="L9" s="11"/>
    </row>
    <row r="10" spans="1:12" ht="28.5" x14ac:dyDescent="0.25">
      <c r="A10" s="4">
        <v>8</v>
      </c>
      <c r="B10" s="10">
        <v>908202030</v>
      </c>
      <c r="C10" s="11" t="s">
        <v>15</v>
      </c>
      <c r="D10" s="5">
        <v>28983188</v>
      </c>
      <c r="E10" s="4">
        <v>2</v>
      </c>
      <c r="F10" s="14"/>
      <c r="G10" s="6">
        <f t="shared" si="0"/>
        <v>2</v>
      </c>
      <c r="H10" s="7">
        <v>46132</v>
      </c>
      <c r="I10" s="8" t="s">
        <v>13</v>
      </c>
      <c r="J10" s="9"/>
      <c r="K10" s="4"/>
      <c r="L10" s="11"/>
    </row>
    <row r="11" spans="1:12" ht="28.5" x14ac:dyDescent="0.25">
      <c r="A11" s="4">
        <v>9</v>
      </c>
      <c r="B11" s="10">
        <v>908312027</v>
      </c>
      <c r="C11" s="11" t="s">
        <v>33</v>
      </c>
      <c r="D11" s="5">
        <v>28983188</v>
      </c>
      <c r="E11" s="4">
        <v>1</v>
      </c>
      <c r="F11" s="14"/>
      <c r="G11" s="6">
        <f t="shared" si="0"/>
        <v>1</v>
      </c>
      <c r="H11" s="7">
        <v>46141</v>
      </c>
      <c r="I11" s="8" t="s">
        <v>13</v>
      </c>
      <c r="J11" s="9"/>
      <c r="K11" s="4"/>
      <c r="L11" s="11"/>
    </row>
    <row r="12" spans="1:12" ht="28.5" x14ac:dyDescent="0.25">
      <c r="A12" s="4">
        <v>10</v>
      </c>
      <c r="B12" s="10" t="s">
        <v>16</v>
      </c>
      <c r="C12" s="11" t="s">
        <v>19</v>
      </c>
      <c r="D12" s="5">
        <v>28983188</v>
      </c>
      <c r="E12" s="4">
        <v>2</v>
      </c>
      <c r="F12" s="14"/>
      <c r="G12" s="6">
        <f t="shared" si="0"/>
        <v>2</v>
      </c>
      <c r="H12" s="7">
        <v>46132</v>
      </c>
      <c r="I12" s="8" t="s">
        <v>13</v>
      </c>
      <c r="J12" s="9"/>
      <c r="K12" s="4"/>
      <c r="L12" s="11"/>
    </row>
    <row r="13" spans="1:12" ht="28.5" x14ac:dyDescent="0.25">
      <c r="A13" s="4">
        <v>11</v>
      </c>
      <c r="B13" s="10">
        <v>908020201</v>
      </c>
      <c r="C13" s="11" t="s">
        <v>12</v>
      </c>
      <c r="D13" s="5">
        <v>28983188</v>
      </c>
      <c r="E13" s="4">
        <v>1</v>
      </c>
      <c r="F13" s="14"/>
      <c r="G13" s="6">
        <f t="shared" si="0"/>
        <v>1</v>
      </c>
      <c r="H13" s="7">
        <v>46132</v>
      </c>
      <c r="I13" s="8" t="s">
        <v>13</v>
      </c>
      <c r="J13" s="9"/>
      <c r="K13" s="4"/>
      <c r="L13" s="11"/>
    </row>
    <row r="14" spans="1:12" ht="28.5" x14ac:dyDescent="0.25">
      <c r="A14" s="4">
        <v>13</v>
      </c>
      <c r="B14" s="10"/>
      <c r="C14" s="11"/>
      <c r="D14" s="5"/>
      <c r="E14" s="4"/>
      <c r="F14" s="14"/>
      <c r="G14" s="6"/>
      <c r="H14" s="7"/>
      <c r="I14" s="8"/>
      <c r="J14" s="9"/>
      <c r="K14" s="4"/>
      <c r="L14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31EA-0FCC-4027-8711-4939EA2CF6A3}">
  <dimension ref="A1:L8"/>
  <sheetViews>
    <sheetView zoomScale="78" zoomScaleNormal="78" workbookViewId="0">
      <selection activeCell="H20" sqref="H20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280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908122034</v>
      </c>
      <c r="C3" s="11" t="s">
        <v>281</v>
      </c>
      <c r="D3" s="5">
        <v>28962070</v>
      </c>
      <c r="E3" s="4">
        <v>4</v>
      </c>
      <c r="F3" s="14"/>
      <c r="G3" s="6">
        <f>E3-F3</f>
        <v>4</v>
      </c>
      <c r="H3" s="7">
        <v>46128</v>
      </c>
      <c r="I3" s="8" t="s">
        <v>13</v>
      </c>
      <c r="J3" s="9"/>
      <c r="K3" s="4"/>
      <c r="L3" s="11"/>
    </row>
    <row r="4" spans="1:12" ht="28.5" x14ac:dyDescent="0.25">
      <c r="A4" s="4">
        <v>2</v>
      </c>
      <c r="B4" s="12">
        <v>908202189</v>
      </c>
      <c r="C4" s="11" t="s">
        <v>18</v>
      </c>
      <c r="D4" s="5">
        <v>28962070</v>
      </c>
      <c r="E4" s="4">
        <v>5</v>
      </c>
      <c r="F4" s="14"/>
      <c r="G4" s="6">
        <f t="shared" ref="G4:G8" si="0">E4-F4</f>
        <v>5</v>
      </c>
      <c r="H4" s="7">
        <v>46128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0" t="s">
        <v>16</v>
      </c>
      <c r="C5" s="11" t="s">
        <v>19</v>
      </c>
      <c r="D5" s="5">
        <v>28962070</v>
      </c>
      <c r="E5" s="4">
        <v>4</v>
      </c>
      <c r="F5" s="14"/>
      <c r="G5" s="6">
        <f t="shared" si="0"/>
        <v>4</v>
      </c>
      <c r="H5" s="7">
        <v>46128</v>
      </c>
      <c r="I5" s="8" t="s">
        <v>13</v>
      </c>
      <c r="J5" s="9"/>
      <c r="K5" s="4"/>
      <c r="L5" s="11"/>
    </row>
    <row r="6" spans="1:12" ht="28.5" x14ac:dyDescent="0.25">
      <c r="A6" s="4">
        <v>4</v>
      </c>
      <c r="B6" s="10" t="s">
        <v>282</v>
      </c>
      <c r="C6" s="11" t="s">
        <v>70</v>
      </c>
      <c r="D6" s="5">
        <v>28962070</v>
      </c>
      <c r="E6" s="4">
        <v>3</v>
      </c>
      <c r="F6" s="14"/>
      <c r="G6" s="6">
        <f t="shared" si="0"/>
        <v>3</v>
      </c>
      <c r="H6" s="7">
        <v>46128</v>
      </c>
      <c r="I6" s="8" t="s">
        <v>13</v>
      </c>
      <c r="J6" s="9"/>
      <c r="K6" s="4"/>
      <c r="L6" s="11"/>
    </row>
    <row r="7" spans="1:12" ht="28.5" x14ac:dyDescent="0.25">
      <c r="A7" s="4">
        <v>5</v>
      </c>
      <c r="B7" s="10">
        <v>908321230</v>
      </c>
      <c r="C7" s="11" t="s">
        <v>296</v>
      </c>
      <c r="D7" s="5">
        <v>28962070</v>
      </c>
      <c r="E7" s="4">
        <v>1</v>
      </c>
      <c r="F7" s="14"/>
      <c r="G7" s="6">
        <f t="shared" si="0"/>
        <v>1</v>
      </c>
      <c r="H7" s="7">
        <v>46134</v>
      </c>
      <c r="I7" s="8" t="s">
        <v>13</v>
      </c>
      <c r="J7" s="9"/>
      <c r="K7" s="4"/>
      <c r="L7" s="11"/>
    </row>
    <row r="8" spans="1:12" ht="28.5" x14ac:dyDescent="0.25">
      <c r="A8" s="4"/>
      <c r="B8" s="10">
        <v>908111102</v>
      </c>
      <c r="C8" s="11" t="s">
        <v>300</v>
      </c>
      <c r="D8" s="5">
        <v>28962070</v>
      </c>
      <c r="E8" s="4">
        <v>25</v>
      </c>
      <c r="F8" s="14"/>
      <c r="G8" s="6">
        <f t="shared" si="0"/>
        <v>25</v>
      </c>
      <c r="H8" s="7">
        <v>46131</v>
      </c>
      <c r="I8" s="8" t="s">
        <v>13</v>
      </c>
      <c r="J8" s="9"/>
      <c r="K8" s="4"/>
      <c r="L8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EEB3-98E5-435E-8189-B03771A003CD}">
  <dimension ref="A1:L6"/>
  <sheetViews>
    <sheetView zoomScale="78" zoomScaleNormal="78" workbookViewId="0">
      <selection activeCell="I25" sqref="I25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279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908121008</v>
      </c>
      <c r="C3" s="11" t="s">
        <v>14</v>
      </c>
      <c r="D3" s="5">
        <v>28961957</v>
      </c>
      <c r="E3" s="4">
        <v>2</v>
      </c>
      <c r="F3" s="14">
        <v>2</v>
      </c>
      <c r="G3" s="6">
        <f>E3-F3</f>
        <v>0</v>
      </c>
      <c r="H3" s="7">
        <v>46128</v>
      </c>
      <c r="I3" s="8" t="s">
        <v>13</v>
      </c>
      <c r="J3" s="9">
        <v>46138</v>
      </c>
      <c r="K3" s="4" t="s">
        <v>116</v>
      </c>
      <c r="L3" s="11"/>
    </row>
    <row r="4" spans="1:12" ht="28.5" x14ac:dyDescent="0.25">
      <c r="A4" s="4">
        <v>2</v>
      </c>
      <c r="B4" s="12">
        <v>908202189</v>
      </c>
      <c r="C4" s="11" t="s">
        <v>18</v>
      </c>
      <c r="D4" s="5">
        <v>28961957</v>
      </c>
      <c r="E4" s="4">
        <v>2</v>
      </c>
      <c r="F4" s="14"/>
      <c r="G4" s="6">
        <f t="shared" ref="G4:G6" si="0">E4-F4</f>
        <v>2</v>
      </c>
      <c r="H4" s="7">
        <v>46128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0" t="s">
        <v>16</v>
      </c>
      <c r="C5" s="11" t="s">
        <v>19</v>
      </c>
      <c r="D5" s="5">
        <v>28961957</v>
      </c>
      <c r="E5" s="4">
        <v>2</v>
      </c>
      <c r="F5" s="14"/>
      <c r="G5" s="6">
        <f t="shared" si="0"/>
        <v>2</v>
      </c>
      <c r="H5" s="7">
        <v>46128</v>
      </c>
      <c r="I5" s="8" t="s">
        <v>13</v>
      </c>
      <c r="J5" s="9"/>
      <c r="K5" s="4"/>
      <c r="L5" s="11"/>
    </row>
    <row r="6" spans="1:12" ht="28.5" x14ac:dyDescent="0.25">
      <c r="A6" s="4">
        <v>4</v>
      </c>
      <c r="B6" s="10" t="s">
        <v>50</v>
      </c>
      <c r="C6" s="11" t="s">
        <v>51</v>
      </c>
      <c r="D6" s="5">
        <v>28961957</v>
      </c>
      <c r="E6" s="4">
        <v>22</v>
      </c>
      <c r="F6" s="14">
        <v>22</v>
      </c>
      <c r="G6" s="6">
        <f t="shared" si="0"/>
        <v>0</v>
      </c>
      <c r="H6" s="7">
        <v>46126</v>
      </c>
      <c r="I6" s="8" t="s">
        <v>13</v>
      </c>
      <c r="J6" s="9">
        <v>46133</v>
      </c>
      <c r="K6" s="4" t="s">
        <v>116</v>
      </c>
      <c r="L6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015A-DA11-4166-A90B-713C1C170197}">
  <dimension ref="A1:L7"/>
  <sheetViews>
    <sheetView zoomScale="78" zoomScaleNormal="78" workbookViewId="0">
      <selection activeCell="H12" sqref="H12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278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98121009</v>
      </c>
      <c r="C3" s="11" t="s">
        <v>275</v>
      </c>
      <c r="D3" s="5">
        <v>28959301</v>
      </c>
      <c r="E3" s="4">
        <v>1</v>
      </c>
      <c r="F3" s="14">
        <v>1</v>
      </c>
      <c r="G3" s="6">
        <f t="shared" ref="G3:G5" si="0">E3-F3</f>
        <v>0</v>
      </c>
      <c r="H3" s="7">
        <v>46127</v>
      </c>
      <c r="I3" s="8" t="s">
        <v>177</v>
      </c>
      <c r="J3" s="9">
        <v>46137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28959301</v>
      </c>
      <c r="E4" s="4">
        <v>5</v>
      </c>
      <c r="F4" s="14"/>
      <c r="G4" s="6">
        <f t="shared" si="0"/>
        <v>5</v>
      </c>
      <c r="H4" s="7">
        <v>46126</v>
      </c>
      <c r="I4" s="8" t="s">
        <v>177</v>
      </c>
      <c r="J4" s="9"/>
      <c r="K4" s="4"/>
      <c r="L4" s="11"/>
    </row>
    <row r="5" spans="1:12" ht="28.5" x14ac:dyDescent="0.25">
      <c r="A5" s="4">
        <v>3</v>
      </c>
      <c r="B5" s="10">
        <v>908111006</v>
      </c>
      <c r="C5" s="11" t="s">
        <v>60</v>
      </c>
      <c r="D5" s="5">
        <v>28959301</v>
      </c>
      <c r="E5" s="4">
        <v>40</v>
      </c>
      <c r="F5" s="14">
        <v>43</v>
      </c>
      <c r="G5" s="6">
        <f t="shared" si="0"/>
        <v>-3</v>
      </c>
      <c r="H5" s="7">
        <v>46131</v>
      </c>
      <c r="I5" s="8" t="s">
        <v>177</v>
      </c>
      <c r="J5" s="9">
        <v>46137</v>
      </c>
      <c r="K5" s="4" t="s">
        <v>116</v>
      </c>
      <c r="L5" s="11"/>
    </row>
    <row r="6" spans="1:12" ht="28.5" x14ac:dyDescent="0.25">
      <c r="A6" s="4"/>
      <c r="B6" s="10"/>
      <c r="C6" s="11"/>
      <c r="D6" s="5"/>
      <c r="E6" s="4"/>
      <c r="F6" s="14"/>
      <c r="G6" s="6"/>
      <c r="H6" s="7"/>
      <c r="I6" s="8"/>
      <c r="J6" s="9"/>
      <c r="K6" s="4"/>
      <c r="L6" s="11"/>
    </row>
    <row r="7" spans="1:12" ht="28.5" x14ac:dyDescent="0.25">
      <c r="A7" s="4"/>
      <c r="B7" s="10"/>
      <c r="C7" s="11"/>
      <c r="D7" s="5"/>
      <c r="E7" s="4"/>
      <c r="F7" s="14"/>
      <c r="G7" s="6"/>
      <c r="H7" s="7"/>
      <c r="I7" s="8"/>
      <c r="J7" s="9"/>
      <c r="K7" s="4"/>
      <c r="L7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4F8A-33ED-4062-89EE-0947599E19D5}">
  <dimension ref="A1:L13"/>
  <sheetViews>
    <sheetView zoomScale="78" zoomScaleNormal="78" workbookViewId="0">
      <selection activeCell="I19" sqref="I19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277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28935871</v>
      </c>
      <c r="E3" s="4"/>
      <c r="F3" s="14">
        <v>95</v>
      </c>
      <c r="G3" s="6">
        <f>E3-F3</f>
        <v>-95</v>
      </c>
      <c r="H3" s="7"/>
      <c r="I3" s="8"/>
      <c r="J3" s="9">
        <v>46130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28935871</v>
      </c>
      <c r="E4" s="4"/>
      <c r="F4" s="14">
        <v>33</v>
      </c>
      <c r="G4" s="6">
        <f t="shared" ref="G4:G13" si="0">E4-F4</f>
        <v>-33</v>
      </c>
      <c r="H4" s="7"/>
      <c r="I4" s="8"/>
      <c r="J4" s="9">
        <v>46130</v>
      </c>
      <c r="K4" s="4" t="s">
        <v>116</v>
      </c>
      <c r="L4" s="11"/>
    </row>
    <row r="5" spans="1:12" ht="28.5" x14ac:dyDescent="0.25">
      <c r="A5" s="4">
        <v>3</v>
      </c>
      <c r="B5" s="10">
        <v>908121008</v>
      </c>
      <c r="C5" s="11" t="s">
        <v>14</v>
      </c>
      <c r="D5" s="5">
        <v>28935871</v>
      </c>
      <c r="E5" s="4">
        <v>2</v>
      </c>
      <c r="F5" s="14">
        <v>2</v>
      </c>
      <c r="G5" s="6">
        <f t="shared" si="0"/>
        <v>0</v>
      </c>
      <c r="H5" s="7">
        <v>46125</v>
      </c>
      <c r="I5" s="8" t="s">
        <v>13</v>
      </c>
      <c r="J5" s="9">
        <v>46130</v>
      </c>
      <c r="K5" s="4" t="s">
        <v>116</v>
      </c>
      <c r="L5" s="11"/>
    </row>
    <row r="6" spans="1:12" ht="28.5" x14ac:dyDescent="0.25">
      <c r="A6" s="4">
        <v>4</v>
      </c>
      <c r="B6" s="10">
        <v>908121010</v>
      </c>
      <c r="C6" s="11" t="s">
        <v>22</v>
      </c>
      <c r="D6" s="5">
        <v>28935871</v>
      </c>
      <c r="E6" s="4">
        <v>2</v>
      </c>
      <c r="F6" s="14">
        <v>1</v>
      </c>
      <c r="G6" s="6">
        <f t="shared" si="0"/>
        <v>1</v>
      </c>
      <c r="H6" s="7">
        <v>46125</v>
      </c>
      <c r="I6" s="8" t="s">
        <v>13</v>
      </c>
      <c r="J6" s="24">
        <v>46130</v>
      </c>
      <c r="K6" s="4" t="s">
        <v>116</v>
      </c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>
        <v>28935871</v>
      </c>
      <c r="E7" s="4"/>
      <c r="F7" s="14"/>
      <c r="G7" s="6"/>
      <c r="H7" s="7"/>
      <c r="I7" s="8"/>
      <c r="J7" s="9"/>
      <c r="K7" s="4"/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28935871</v>
      </c>
      <c r="E8" s="4">
        <v>2</v>
      </c>
      <c r="F8" s="14">
        <v>2</v>
      </c>
      <c r="G8" s="6">
        <f t="shared" si="0"/>
        <v>0</v>
      </c>
      <c r="H8" s="7">
        <v>46125</v>
      </c>
      <c r="I8" s="8" t="s">
        <v>13</v>
      </c>
      <c r="J8" s="9">
        <v>46130</v>
      </c>
      <c r="K8" s="4" t="s">
        <v>116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>
        <v>28935871</v>
      </c>
      <c r="E9" s="4"/>
      <c r="F9" s="14">
        <v>6</v>
      </c>
      <c r="G9" s="6">
        <f t="shared" si="0"/>
        <v>-6</v>
      </c>
      <c r="H9" s="7"/>
      <c r="I9" s="8"/>
      <c r="J9" s="9">
        <v>46130</v>
      </c>
      <c r="K9" s="4" t="s">
        <v>116</v>
      </c>
      <c r="L9" s="11"/>
    </row>
    <row r="10" spans="1:12" ht="28.5" x14ac:dyDescent="0.25">
      <c r="A10" s="4">
        <v>8</v>
      </c>
      <c r="B10" s="10">
        <v>908202030</v>
      </c>
      <c r="C10" s="11" t="s">
        <v>15</v>
      </c>
      <c r="D10" s="5">
        <v>28935871</v>
      </c>
      <c r="E10" s="4">
        <v>2</v>
      </c>
      <c r="F10" s="14">
        <v>2</v>
      </c>
      <c r="G10" s="6">
        <f t="shared" si="0"/>
        <v>0</v>
      </c>
      <c r="H10" s="7">
        <v>46125</v>
      </c>
      <c r="I10" s="8" t="s">
        <v>13</v>
      </c>
      <c r="J10" s="9">
        <v>46130</v>
      </c>
      <c r="K10" s="4" t="s">
        <v>116</v>
      </c>
      <c r="L10" s="11"/>
    </row>
    <row r="11" spans="1:12" ht="28.5" x14ac:dyDescent="0.25">
      <c r="A11" s="4">
        <v>9</v>
      </c>
      <c r="B11" s="10">
        <v>908312027</v>
      </c>
      <c r="C11" s="11" t="s">
        <v>33</v>
      </c>
      <c r="D11" s="5">
        <v>28935871</v>
      </c>
      <c r="E11" s="4">
        <v>1</v>
      </c>
      <c r="F11" s="14">
        <v>1</v>
      </c>
      <c r="G11" s="6">
        <f t="shared" si="0"/>
        <v>0</v>
      </c>
      <c r="H11" s="7">
        <v>46141</v>
      </c>
      <c r="I11" s="8" t="s">
        <v>13</v>
      </c>
      <c r="J11" s="9">
        <v>46130</v>
      </c>
      <c r="K11" s="4" t="s">
        <v>116</v>
      </c>
      <c r="L11" s="11"/>
    </row>
    <row r="12" spans="1:12" ht="28.5" x14ac:dyDescent="0.25">
      <c r="A12" s="4">
        <v>10</v>
      </c>
      <c r="B12" s="10" t="s">
        <v>16</v>
      </c>
      <c r="C12" s="11" t="s">
        <v>19</v>
      </c>
      <c r="D12" s="5">
        <v>28935871</v>
      </c>
      <c r="E12" s="4">
        <v>2</v>
      </c>
      <c r="F12" s="14">
        <v>2</v>
      </c>
      <c r="G12" s="6">
        <f t="shared" si="0"/>
        <v>0</v>
      </c>
      <c r="H12" s="7">
        <v>46125</v>
      </c>
      <c r="I12" s="8" t="s">
        <v>13</v>
      </c>
      <c r="J12" s="9">
        <v>46130</v>
      </c>
      <c r="K12" s="4" t="s">
        <v>116</v>
      </c>
      <c r="L12" s="11"/>
    </row>
    <row r="13" spans="1:12" ht="28.5" x14ac:dyDescent="0.25">
      <c r="A13" s="4">
        <v>11</v>
      </c>
      <c r="B13" s="10">
        <v>908020201</v>
      </c>
      <c r="C13" s="11" t="s">
        <v>12</v>
      </c>
      <c r="D13" s="5">
        <v>28935871</v>
      </c>
      <c r="E13" s="4">
        <v>1</v>
      </c>
      <c r="F13" s="14">
        <v>1</v>
      </c>
      <c r="G13" s="6">
        <f t="shared" si="0"/>
        <v>0</v>
      </c>
      <c r="H13" s="7">
        <v>46127</v>
      </c>
      <c r="I13" s="8" t="s">
        <v>13</v>
      </c>
      <c r="J13" s="9">
        <v>46130</v>
      </c>
      <c r="K13" s="4" t="s">
        <v>116</v>
      </c>
      <c r="L13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2C00-1197-45C7-B9EF-EC0FE2DD2FE8}">
  <dimension ref="A1:L4"/>
  <sheetViews>
    <sheetView topLeftCell="A2" zoomScale="78" zoomScaleNormal="78" workbookViewId="0">
      <selection activeCell="J11" sqref="J1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>
        <v>28952113</v>
      </c>
      <c r="E3" s="4">
        <v>22</v>
      </c>
      <c r="F3" s="14">
        <v>22</v>
      </c>
      <c r="G3" s="6">
        <f>E3-F3</f>
        <v>0</v>
      </c>
      <c r="H3" s="7"/>
      <c r="I3" s="8"/>
      <c r="J3" s="9">
        <v>46131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>
        <v>28952113</v>
      </c>
      <c r="E4" s="4">
        <v>2</v>
      </c>
      <c r="F4" s="14">
        <v>2</v>
      </c>
      <c r="G4" s="6">
        <f>E4-F4</f>
        <v>0</v>
      </c>
      <c r="H4" s="7">
        <v>46127</v>
      </c>
      <c r="I4" s="8" t="s">
        <v>13</v>
      </c>
      <c r="J4" s="9">
        <v>46131</v>
      </c>
      <c r="K4" s="4" t="s">
        <v>116</v>
      </c>
      <c r="L4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4DC4-9911-479E-B911-BBF03F640808}">
  <dimension ref="A1:L15"/>
  <sheetViews>
    <sheetView tabSelected="1" zoomScale="78" zoomScaleNormal="78" workbookViewId="0">
      <selection activeCell="G26" sqref="G26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274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28952036</v>
      </c>
      <c r="E3" s="4">
        <v>27</v>
      </c>
      <c r="F3" s="14">
        <v>28</v>
      </c>
      <c r="G3" s="6">
        <f>E3-F3</f>
        <v>-1</v>
      </c>
      <c r="H3" s="7">
        <v>46126</v>
      </c>
      <c r="I3" s="8" t="s">
        <v>13</v>
      </c>
      <c r="J3" s="9">
        <v>46132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28952036</v>
      </c>
      <c r="E4" s="4">
        <v>12</v>
      </c>
      <c r="F4" s="14">
        <v>12</v>
      </c>
      <c r="G4" s="6">
        <f t="shared" ref="G4:G15" si="0">E4-F4</f>
        <v>0</v>
      </c>
      <c r="H4" s="7">
        <v>46126</v>
      </c>
      <c r="I4" s="8" t="s">
        <v>13</v>
      </c>
      <c r="J4" s="9">
        <v>46132</v>
      </c>
      <c r="K4" s="4" t="s">
        <v>116</v>
      </c>
      <c r="L4" s="11"/>
    </row>
    <row r="5" spans="1:12" ht="28.5" x14ac:dyDescent="0.25">
      <c r="A5" s="4">
        <v>3</v>
      </c>
      <c r="B5" s="19">
        <v>908111006</v>
      </c>
      <c r="C5" s="11" t="s">
        <v>60</v>
      </c>
      <c r="D5" s="5">
        <v>28952036</v>
      </c>
      <c r="E5" s="4">
        <v>7</v>
      </c>
      <c r="F5" s="14">
        <v>7</v>
      </c>
      <c r="G5" s="6">
        <f t="shared" si="0"/>
        <v>0</v>
      </c>
      <c r="H5" s="7">
        <v>46131</v>
      </c>
      <c r="I5" s="8" t="s">
        <v>13</v>
      </c>
      <c r="J5" s="9">
        <v>46132</v>
      </c>
      <c r="K5" s="4" t="s">
        <v>116</v>
      </c>
      <c r="L5" s="11"/>
    </row>
    <row r="6" spans="1:12" ht="28.5" x14ac:dyDescent="0.25">
      <c r="A6" s="4">
        <v>4</v>
      </c>
      <c r="B6" s="10">
        <v>908121008</v>
      </c>
      <c r="C6" s="11" t="s">
        <v>14</v>
      </c>
      <c r="D6" s="5">
        <v>28952036</v>
      </c>
      <c r="E6" s="4">
        <v>1</v>
      </c>
      <c r="F6" s="14">
        <v>1</v>
      </c>
      <c r="G6" s="6">
        <f t="shared" si="0"/>
        <v>0</v>
      </c>
      <c r="H6" s="7">
        <v>46127</v>
      </c>
      <c r="I6" s="8" t="s">
        <v>13</v>
      </c>
      <c r="J6" s="9">
        <v>46132</v>
      </c>
      <c r="K6" s="4" t="s">
        <v>116</v>
      </c>
      <c r="L6" s="11"/>
    </row>
    <row r="7" spans="1:12" ht="52.5" x14ac:dyDescent="0.25">
      <c r="A7" s="4">
        <v>5</v>
      </c>
      <c r="B7" s="10">
        <v>908121010</v>
      </c>
      <c r="C7" s="11" t="s">
        <v>22</v>
      </c>
      <c r="D7" s="5">
        <v>28952036</v>
      </c>
      <c r="E7" s="4">
        <v>2</v>
      </c>
      <c r="F7" s="14">
        <f>1+1</f>
        <v>2</v>
      </c>
      <c r="G7" s="6">
        <f t="shared" si="0"/>
        <v>0</v>
      </c>
      <c r="H7" s="7">
        <v>46127</v>
      </c>
      <c r="I7" s="8" t="s">
        <v>13</v>
      </c>
      <c r="J7" s="24" t="s">
        <v>312</v>
      </c>
      <c r="K7" s="4" t="s">
        <v>116</v>
      </c>
      <c r="L7" s="11"/>
    </row>
    <row r="8" spans="1:12" ht="28.5" x14ac:dyDescent="0.25">
      <c r="A8" s="4">
        <v>6</v>
      </c>
      <c r="B8" s="10">
        <v>908122011</v>
      </c>
      <c r="C8" s="11" t="s">
        <v>55</v>
      </c>
      <c r="D8" s="5">
        <v>28952036</v>
      </c>
      <c r="E8" s="4">
        <v>3</v>
      </c>
      <c r="F8" s="14">
        <v>3</v>
      </c>
      <c r="G8" s="6">
        <f t="shared" si="0"/>
        <v>0</v>
      </c>
      <c r="H8" s="7">
        <v>46127</v>
      </c>
      <c r="I8" s="8" t="s">
        <v>13</v>
      </c>
      <c r="J8" s="9">
        <v>46141</v>
      </c>
      <c r="K8" s="4" t="s">
        <v>116</v>
      </c>
      <c r="L8" s="11"/>
    </row>
    <row r="9" spans="1:12" ht="28.5" x14ac:dyDescent="0.25">
      <c r="A9" s="4">
        <v>7</v>
      </c>
      <c r="B9" s="10">
        <v>908202098</v>
      </c>
      <c r="C9" s="11" t="s">
        <v>20</v>
      </c>
      <c r="D9" s="5">
        <v>28952036</v>
      </c>
      <c r="E9" s="4">
        <v>2</v>
      </c>
      <c r="F9" s="14">
        <v>2</v>
      </c>
      <c r="G9" s="6">
        <f t="shared" si="0"/>
        <v>0</v>
      </c>
      <c r="H9" s="7">
        <v>46127</v>
      </c>
      <c r="I9" s="8" t="s">
        <v>13</v>
      </c>
      <c r="J9" s="9">
        <v>46132</v>
      </c>
      <c r="K9" s="4" t="s">
        <v>116</v>
      </c>
      <c r="L9" s="11"/>
    </row>
    <row r="10" spans="1:12" ht="28.5" x14ac:dyDescent="0.25">
      <c r="A10" s="4">
        <v>8</v>
      </c>
      <c r="B10" s="10">
        <v>908111101</v>
      </c>
      <c r="C10" s="11" t="s">
        <v>47</v>
      </c>
      <c r="D10" s="5">
        <v>28952036</v>
      </c>
      <c r="E10" s="4">
        <v>6</v>
      </c>
      <c r="F10" s="14">
        <v>6</v>
      </c>
      <c r="G10" s="6">
        <f t="shared" si="0"/>
        <v>0</v>
      </c>
      <c r="H10" s="7">
        <v>46126</v>
      </c>
      <c r="I10" s="8" t="s">
        <v>13</v>
      </c>
      <c r="J10" s="9">
        <v>46132</v>
      </c>
      <c r="K10" s="4" t="s">
        <v>116</v>
      </c>
      <c r="L10" s="11"/>
    </row>
    <row r="11" spans="1:12" ht="28.5" x14ac:dyDescent="0.25">
      <c r="A11" s="4">
        <v>9</v>
      </c>
      <c r="B11" s="10">
        <v>908202030</v>
      </c>
      <c r="C11" s="11" t="s">
        <v>15</v>
      </c>
      <c r="D11" s="5">
        <v>28952036</v>
      </c>
      <c r="E11" s="4">
        <v>2</v>
      </c>
      <c r="F11" s="14">
        <v>2</v>
      </c>
      <c r="G11" s="6">
        <f t="shared" si="0"/>
        <v>0</v>
      </c>
      <c r="H11" s="7">
        <v>46127</v>
      </c>
      <c r="I11" s="8" t="s">
        <v>13</v>
      </c>
      <c r="J11" s="9">
        <v>46132</v>
      </c>
      <c r="K11" s="4" t="s">
        <v>116</v>
      </c>
      <c r="L11" s="11"/>
    </row>
    <row r="12" spans="1:12" ht="28.5" x14ac:dyDescent="0.25">
      <c r="A12" s="4">
        <v>10</v>
      </c>
      <c r="B12" s="10">
        <v>908312027</v>
      </c>
      <c r="C12" s="11" t="s">
        <v>33</v>
      </c>
      <c r="D12" s="5">
        <v>28952036</v>
      </c>
      <c r="E12" s="4">
        <v>1</v>
      </c>
      <c r="F12" s="14">
        <v>1</v>
      </c>
      <c r="G12" s="6">
        <f t="shared" si="0"/>
        <v>0</v>
      </c>
      <c r="H12" s="7">
        <v>46141</v>
      </c>
      <c r="I12" s="8" t="s">
        <v>13</v>
      </c>
      <c r="J12" s="9">
        <v>46132</v>
      </c>
      <c r="K12" s="4" t="s">
        <v>116</v>
      </c>
      <c r="L12" s="11"/>
    </row>
    <row r="13" spans="1:12" ht="28.5" x14ac:dyDescent="0.25">
      <c r="A13" s="4">
        <v>11</v>
      </c>
      <c r="B13" s="10" t="s">
        <v>16</v>
      </c>
      <c r="C13" s="11" t="s">
        <v>19</v>
      </c>
      <c r="D13" s="5">
        <v>28952036</v>
      </c>
      <c r="E13" s="4">
        <v>2</v>
      </c>
      <c r="F13" s="14">
        <v>2</v>
      </c>
      <c r="G13" s="6">
        <f t="shared" si="0"/>
        <v>0</v>
      </c>
      <c r="H13" s="7">
        <v>46127</v>
      </c>
      <c r="I13" s="8" t="s">
        <v>13</v>
      </c>
      <c r="J13" s="9">
        <v>46132</v>
      </c>
      <c r="K13" s="4" t="s">
        <v>116</v>
      </c>
      <c r="L13" s="11"/>
    </row>
    <row r="14" spans="1:12" ht="28.5" x14ac:dyDescent="0.25">
      <c r="A14" s="4">
        <v>12</v>
      </c>
      <c r="B14" s="10">
        <v>908020201</v>
      </c>
      <c r="C14" s="11" t="s">
        <v>12</v>
      </c>
      <c r="D14" s="5">
        <v>28952036</v>
      </c>
      <c r="E14" s="4">
        <v>1</v>
      </c>
      <c r="F14" s="14">
        <v>1</v>
      </c>
      <c r="G14" s="6">
        <f t="shared" si="0"/>
        <v>0</v>
      </c>
      <c r="H14" s="7">
        <v>46127</v>
      </c>
      <c r="I14" s="8" t="s">
        <v>13</v>
      </c>
      <c r="J14" s="9">
        <v>46132</v>
      </c>
      <c r="K14" s="4" t="s">
        <v>116</v>
      </c>
      <c r="L14" s="11"/>
    </row>
    <row r="15" spans="1:12" ht="28.5" x14ac:dyDescent="0.25">
      <c r="A15" s="4">
        <v>13</v>
      </c>
      <c r="B15" s="10">
        <v>98121009</v>
      </c>
      <c r="C15" s="11" t="s">
        <v>275</v>
      </c>
      <c r="D15" s="5">
        <v>28952036</v>
      </c>
      <c r="E15" s="4">
        <v>1</v>
      </c>
      <c r="F15" s="14">
        <v>1</v>
      </c>
      <c r="G15" s="6">
        <f t="shared" si="0"/>
        <v>0</v>
      </c>
      <c r="H15" s="7"/>
      <c r="I15" s="8"/>
      <c r="J15" s="9">
        <v>46132</v>
      </c>
      <c r="K15" s="4" t="s">
        <v>116</v>
      </c>
      <c r="L15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A7F5-36D5-4894-AE3C-CBC385B21EE3}">
  <dimension ref="A1:L13"/>
  <sheetViews>
    <sheetView zoomScale="78" zoomScaleNormal="78" workbookViewId="0">
      <selection activeCell="C22" sqref="C22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273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28952065</v>
      </c>
      <c r="E3" s="4">
        <v>69</v>
      </c>
      <c r="F3" s="14"/>
      <c r="G3" s="6">
        <f>E3-F3</f>
        <v>69</v>
      </c>
      <c r="H3" s="7"/>
      <c r="I3" s="8"/>
      <c r="J3" s="9"/>
      <c r="K3" s="4"/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28952065</v>
      </c>
      <c r="E4" s="4">
        <v>60</v>
      </c>
      <c r="F4" s="14"/>
      <c r="G4" s="6">
        <f>E4-F4</f>
        <v>60</v>
      </c>
      <c r="H4" s="7"/>
      <c r="I4" s="8"/>
      <c r="J4" s="9"/>
      <c r="K4" s="4"/>
      <c r="L4" s="11"/>
    </row>
    <row r="5" spans="1:12" ht="28.5" x14ac:dyDescent="0.25">
      <c r="A5" s="4">
        <v>3</v>
      </c>
      <c r="B5" s="10">
        <v>908121008</v>
      </c>
      <c r="C5" s="11" t="s">
        <v>14</v>
      </c>
      <c r="D5" s="5">
        <v>28952065</v>
      </c>
      <c r="E5" s="4">
        <v>2</v>
      </c>
      <c r="F5" s="14"/>
      <c r="G5" s="6">
        <f>E5-F5</f>
        <v>2</v>
      </c>
      <c r="H5" s="7">
        <v>46127</v>
      </c>
      <c r="I5" s="8" t="s">
        <v>13</v>
      </c>
      <c r="J5" s="9"/>
      <c r="K5" s="4"/>
      <c r="L5" s="11"/>
    </row>
    <row r="6" spans="1:12" ht="28.5" x14ac:dyDescent="0.25">
      <c r="A6" s="4">
        <v>4</v>
      </c>
      <c r="B6" s="10">
        <v>908121010</v>
      </c>
      <c r="C6" s="11" t="s">
        <v>22</v>
      </c>
      <c r="D6" s="5">
        <v>28952065</v>
      </c>
      <c r="E6" s="4">
        <v>2</v>
      </c>
      <c r="F6" s="14"/>
      <c r="G6" s="6">
        <f t="shared" ref="G6:G12" si="0">E6-F6</f>
        <v>2</v>
      </c>
      <c r="H6" s="7">
        <v>46127</v>
      </c>
      <c r="I6" s="8" t="s">
        <v>13</v>
      </c>
      <c r="J6" s="9"/>
      <c r="K6" s="4"/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>
        <v>28952065</v>
      </c>
      <c r="E7" s="4">
        <v>3</v>
      </c>
      <c r="F7" s="14"/>
      <c r="G7" s="6">
        <f t="shared" si="0"/>
        <v>3</v>
      </c>
      <c r="H7" s="7">
        <v>46127</v>
      </c>
      <c r="I7" s="8" t="s">
        <v>13</v>
      </c>
      <c r="J7" s="9"/>
      <c r="K7" s="4"/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28952065</v>
      </c>
      <c r="E8" s="4">
        <v>2</v>
      </c>
      <c r="F8" s="14"/>
      <c r="G8" s="6">
        <f t="shared" si="0"/>
        <v>2</v>
      </c>
      <c r="H8" s="7">
        <v>46127</v>
      </c>
      <c r="I8" s="8" t="s">
        <v>13</v>
      </c>
      <c r="J8" s="9"/>
      <c r="K8" s="4"/>
      <c r="L8" s="11"/>
    </row>
    <row r="9" spans="1:12" ht="28.5" x14ac:dyDescent="0.25">
      <c r="A9" s="4">
        <v>7</v>
      </c>
      <c r="B9" s="10">
        <v>908202030</v>
      </c>
      <c r="C9" s="11" t="s">
        <v>15</v>
      </c>
      <c r="D9" s="5">
        <v>28952065</v>
      </c>
      <c r="E9" s="4">
        <v>2</v>
      </c>
      <c r="F9" s="14"/>
      <c r="G9" s="6">
        <f t="shared" si="0"/>
        <v>2</v>
      </c>
      <c r="H9" s="7">
        <v>46127</v>
      </c>
      <c r="I9" s="8" t="s">
        <v>13</v>
      </c>
      <c r="J9" s="9"/>
      <c r="K9" s="4"/>
      <c r="L9" s="11"/>
    </row>
    <row r="10" spans="1:12" ht="28.5" x14ac:dyDescent="0.25">
      <c r="A10" s="4">
        <v>8</v>
      </c>
      <c r="B10" s="10" t="s">
        <v>16</v>
      </c>
      <c r="C10" s="11" t="s">
        <v>19</v>
      </c>
      <c r="D10" s="5">
        <v>28952065</v>
      </c>
      <c r="E10" s="4">
        <v>2</v>
      </c>
      <c r="F10" s="14"/>
      <c r="G10" s="6">
        <f t="shared" si="0"/>
        <v>2</v>
      </c>
      <c r="H10" s="7">
        <v>46127</v>
      </c>
      <c r="I10" s="8" t="s">
        <v>13</v>
      </c>
      <c r="J10" s="9"/>
      <c r="K10" s="4"/>
      <c r="L10" s="11"/>
    </row>
    <row r="11" spans="1:12" ht="28.5" x14ac:dyDescent="0.25">
      <c r="A11" s="4">
        <v>9</v>
      </c>
      <c r="B11" s="10">
        <v>908020201</v>
      </c>
      <c r="C11" s="11" t="s">
        <v>12</v>
      </c>
      <c r="D11" s="5">
        <v>28952065</v>
      </c>
      <c r="E11" s="4">
        <v>1</v>
      </c>
      <c r="F11" s="14"/>
      <c r="G11" s="6">
        <f t="shared" si="0"/>
        <v>1</v>
      </c>
      <c r="H11" s="7">
        <v>46127</v>
      </c>
      <c r="I11" s="8" t="s">
        <v>13</v>
      </c>
      <c r="J11" s="9"/>
      <c r="K11" s="4"/>
      <c r="L11" s="11"/>
    </row>
    <row r="12" spans="1:12" ht="28.5" x14ac:dyDescent="0.25">
      <c r="A12" s="4">
        <v>10</v>
      </c>
      <c r="B12" s="10">
        <v>908312027</v>
      </c>
      <c r="C12" s="11" t="s">
        <v>33</v>
      </c>
      <c r="D12" s="5">
        <v>28952065</v>
      </c>
      <c r="E12" s="4">
        <v>1</v>
      </c>
      <c r="F12" s="14"/>
      <c r="G12" s="6">
        <f t="shared" si="0"/>
        <v>1</v>
      </c>
      <c r="H12" s="7" t="s">
        <v>313</v>
      </c>
      <c r="I12" s="8" t="s">
        <v>13</v>
      </c>
      <c r="J12" s="9"/>
      <c r="K12" s="4"/>
      <c r="L12" s="11"/>
    </row>
    <row r="13" spans="1:12" ht="28.5" x14ac:dyDescent="0.25">
      <c r="A13" s="4"/>
      <c r="B13" s="10"/>
      <c r="C13" s="11"/>
      <c r="D13" s="5"/>
      <c r="E13" s="4"/>
      <c r="F13" s="14"/>
      <c r="G13" s="6"/>
      <c r="H13" s="7"/>
      <c r="I13" s="8"/>
      <c r="J13" s="9"/>
      <c r="K13" s="4"/>
      <c r="L13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55CC-E3F3-439C-BF0D-9F8AE59DDC78}">
  <dimension ref="A1:L21"/>
  <sheetViews>
    <sheetView zoomScale="78" zoomScaleNormal="78" workbookViewId="0">
      <selection activeCell="L15" sqref="L15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6.25" x14ac:dyDescent="0.25">
      <c r="A3" s="4">
        <v>1</v>
      </c>
      <c r="B3" s="12">
        <v>905705625</v>
      </c>
      <c r="C3" s="11" t="s">
        <v>255</v>
      </c>
      <c r="D3" s="12">
        <v>28598343</v>
      </c>
      <c r="E3" s="4">
        <v>3</v>
      </c>
      <c r="F3" s="38"/>
      <c r="G3" s="39">
        <f>E3-F3</f>
        <v>3</v>
      </c>
      <c r="H3" s="41">
        <v>46076</v>
      </c>
      <c r="I3" s="8" t="s">
        <v>13</v>
      </c>
      <c r="J3" s="9"/>
      <c r="K3" s="4"/>
      <c r="L3" s="11"/>
    </row>
    <row r="4" spans="1:12" ht="26.25" x14ac:dyDescent="0.25">
      <c r="A4" s="4">
        <v>2</v>
      </c>
      <c r="B4" s="12">
        <v>908402205</v>
      </c>
      <c r="C4" s="11" t="s">
        <v>256</v>
      </c>
      <c r="D4" s="12">
        <v>28598343</v>
      </c>
      <c r="E4" s="4">
        <v>3</v>
      </c>
      <c r="F4" s="38"/>
      <c r="G4" s="39">
        <f t="shared" ref="G4:G15" si="0">E4-F4</f>
        <v>3</v>
      </c>
      <c r="H4" s="41">
        <v>46076</v>
      </c>
      <c r="I4" s="8" t="s">
        <v>13</v>
      </c>
      <c r="J4" s="9"/>
      <c r="K4" s="4"/>
      <c r="L4" s="11"/>
    </row>
    <row r="5" spans="1:12" ht="26.25" x14ac:dyDescent="0.25">
      <c r="A5" s="4">
        <v>3</v>
      </c>
      <c r="B5" s="12">
        <v>908020203</v>
      </c>
      <c r="C5" s="12" t="s">
        <v>257</v>
      </c>
      <c r="D5" s="12">
        <v>28598343</v>
      </c>
      <c r="E5" s="4">
        <v>6</v>
      </c>
      <c r="F5" s="38"/>
      <c r="G5" s="39">
        <f t="shared" si="0"/>
        <v>6</v>
      </c>
      <c r="H5" s="7"/>
      <c r="I5" s="8" t="s">
        <v>13</v>
      </c>
      <c r="J5" s="9"/>
      <c r="K5" s="4"/>
      <c r="L5" s="11"/>
    </row>
    <row r="6" spans="1:12" ht="26.25" x14ac:dyDescent="0.25">
      <c r="A6" s="4">
        <v>4</v>
      </c>
      <c r="B6" s="12">
        <v>908121150</v>
      </c>
      <c r="C6" s="12" t="s">
        <v>258</v>
      </c>
      <c r="D6" s="12">
        <v>28598343</v>
      </c>
      <c r="E6" s="4">
        <v>3</v>
      </c>
      <c r="F6" s="38"/>
      <c r="G6" s="39">
        <f t="shared" si="0"/>
        <v>3</v>
      </c>
      <c r="H6" s="41">
        <v>46076</v>
      </c>
      <c r="I6" s="8" t="s">
        <v>13</v>
      </c>
      <c r="J6" s="9"/>
      <c r="K6" s="4"/>
      <c r="L6" s="11"/>
    </row>
    <row r="7" spans="1:12" ht="26.25" x14ac:dyDescent="0.25">
      <c r="A7" s="4">
        <v>5</v>
      </c>
      <c r="B7" s="12">
        <v>908121144</v>
      </c>
      <c r="C7" s="34" t="s">
        <v>70</v>
      </c>
      <c r="D7" s="12">
        <v>28598343</v>
      </c>
      <c r="E7" s="4">
        <v>9</v>
      </c>
      <c r="F7" s="38"/>
      <c r="G7" s="39">
        <f t="shared" si="0"/>
        <v>9</v>
      </c>
      <c r="H7" s="41">
        <v>46076</v>
      </c>
      <c r="I7" s="8" t="s">
        <v>13</v>
      </c>
      <c r="J7" s="42"/>
      <c r="K7" s="43"/>
      <c r="L7" s="11"/>
    </row>
    <row r="8" spans="1:12" ht="26.25" x14ac:dyDescent="0.25">
      <c r="A8" s="4">
        <v>6</v>
      </c>
      <c r="B8" s="12" t="s">
        <v>17</v>
      </c>
      <c r="C8" s="12" t="s">
        <v>21</v>
      </c>
      <c r="D8" s="12">
        <v>28598343</v>
      </c>
      <c r="E8" s="4">
        <v>12</v>
      </c>
      <c r="F8" s="38">
        <v>12</v>
      </c>
      <c r="G8" s="39">
        <f t="shared" si="0"/>
        <v>0</v>
      </c>
      <c r="H8" s="41">
        <v>46076</v>
      </c>
      <c r="I8" s="8" t="s">
        <v>13</v>
      </c>
      <c r="J8" s="9">
        <v>46133</v>
      </c>
      <c r="K8" s="4" t="s">
        <v>103</v>
      </c>
      <c r="L8" s="11"/>
    </row>
    <row r="9" spans="1:12" ht="26.25" x14ac:dyDescent="0.25">
      <c r="A9" s="4">
        <v>7</v>
      </c>
      <c r="B9" s="12" t="s">
        <v>16</v>
      </c>
      <c r="C9" s="12" t="s">
        <v>19</v>
      </c>
      <c r="D9" s="12">
        <v>28598343</v>
      </c>
      <c r="E9" s="4">
        <v>2</v>
      </c>
      <c r="F9" s="38">
        <v>6</v>
      </c>
      <c r="G9" s="39">
        <f t="shared" si="0"/>
        <v>-4</v>
      </c>
      <c r="H9" s="41">
        <v>46076</v>
      </c>
      <c r="I9" s="8" t="s">
        <v>13</v>
      </c>
      <c r="J9" s="9">
        <v>46133</v>
      </c>
      <c r="K9" s="4" t="s">
        <v>103</v>
      </c>
      <c r="L9" s="11"/>
    </row>
    <row r="10" spans="1:12" ht="26.25" x14ac:dyDescent="0.25">
      <c r="A10" s="4">
        <v>8</v>
      </c>
      <c r="B10" s="12">
        <v>908202053</v>
      </c>
      <c r="C10" s="12" t="s">
        <v>259</v>
      </c>
      <c r="D10" s="12">
        <v>28598343</v>
      </c>
      <c r="E10" s="4">
        <v>3</v>
      </c>
      <c r="F10" s="38"/>
      <c r="G10" s="39">
        <f t="shared" si="0"/>
        <v>3</v>
      </c>
      <c r="H10" s="41">
        <v>46076</v>
      </c>
      <c r="I10" s="8" t="s">
        <v>13</v>
      </c>
      <c r="J10" s="9"/>
      <c r="K10" s="4"/>
      <c r="L10" s="11"/>
    </row>
    <row r="11" spans="1:12" ht="26.25" x14ac:dyDescent="0.25">
      <c r="A11" s="4">
        <v>9</v>
      </c>
      <c r="B11" s="12" t="s">
        <v>260</v>
      </c>
      <c r="C11" s="12" t="s">
        <v>82</v>
      </c>
      <c r="D11" s="12">
        <v>28598343</v>
      </c>
      <c r="E11" s="4">
        <v>31</v>
      </c>
      <c r="F11" s="38">
        <v>10</v>
      </c>
      <c r="G11" s="39">
        <f t="shared" si="0"/>
        <v>21</v>
      </c>
      <c r="H11" s="41">
        <v>46076</v>
      </c>
      <c r="I11" s="8" t="s">
        <v>13</v>
      </c>
      <c r="J11" s="9">
        <v>46133</v>
      </c>
      <c r="K11" s="4" t="s">
        <v>103</v>
      </c>
      <c r="L11" s="11"/>
    </row>
    <row r="12" spans="1:12" ht="26.25" x14ac:dyDescent="0.25">
      <c r="A12" s="4">
        <v>10</v>
      </c>
      <c r="B12" s="12">
        <v>908421004</v>
      </c>
      <c r="C12" s="12" t="s">
        <v>261</v>
      </c>
      <c r="D12" s="12">
        <v>28598343</v>
      </c>
      <c r="E12" s="4">
        <v>3</v>
      </c>
      <c r="F12" s="38"/>
      <c r="G12" s="39">
        <f t="shared" si="0"/>
        <v>3</v>
      </c>
      <c r="H12" s="41">
        <v>46076</v>
      </c>
      <c r="I12" s="8" t="s">
        <v>13</v>
      </c>
      <c r="J12" s="9"/>
      <c r="K12" s="4"/>
      <c r="L12" s="11"/>
    </row>
    <row r="13" spans="1:12" ht="26.25" x14ac:dyDescent="0.25">
      <c r="A13" s="4">
        <v>11</v>
      </c>
      <c r="B13" s="12" t="s">
        <v>262</v>
      </c>
      <c r="C13" s="12" t="s">
        <v>96</v>
      </c>
      <c r="D13" s="12">
        <v>28598343</v>
      </c>
      <c r="E13" s="4">
        <v>6</v>
      </c>
      <c r="F13" s="38"/>
      <c r="G13" s="39">
        <f t="shared" si="0"/>
        <v>6</v>
      </c>
      <c r="H13" s="41">
        <v>46076</v>
      </c>
      <c r="I13" s="8" t="s">
        <v>13</v>
      </c>
      <c r="J13" s="9"/>
      <c r="K13" s="4"/>
      <c r="L13" s="11"/>
    </row>
    <row r="14" spans="1:12" ht="26.25" x14ac:dyDescent="0.25">
      <c r="A14" s="4">
        <v>12</v>
      </c>
      <c r="B14" s="12" t="s">
        <v>263</v>
      </c>
      <c r="C14" s="12" t="s">
        <v>93</v>
      </c>
      <c r="D14" s="12">
        <v>28598343</v>
      </c>
      <c r="E14" s="4">
        <v>3</v>
      </c>
      <c r="F14" s="38"/>
      <c r="G14" s="39">
        <f t="shared" si="0"/>
        <v>3</v>
      </c>
      <c r="H14" s="41">
        <v>46076</v>
      </c>
      <c r="I14" s="8" t="s">
        <v>13</v>
      </c>
      <c r="J14" s="9"/>
      <c r="K14" s="4"/>
      <c r="L14" s="11"/>
    </row>
    <row r="15" spans="1:12" ht="46.5" x14ac:dyDescent="0.25">
      <c r="A15" s="4">
        <v>13</v>
      </c>
      <c r="B15" s="12">
        <v>908114004</v>
      </c>
      <c r="C15" s="12" t="s">
        <v>264</v>
      </c>
      <c r="D15" s="12"/>
      <c r="E15" s="40">
        <f>504+500+7</f>
        <v>1011</v>
      </c>
      <c r="F15" s="38">
        <f>56+287+272</f>
        <v>615</v>
      </c>
      <c r="G15" s="39">
        <f t="shared" si="0"/>
        <v>396</v>
      </c>
      <c r="H15" s="41">
        <v>46076</v>
      </c>
      <c r="I15" s="8" t="s">
        <v>13</v>
      </c>
      <c r="J15" s="45" t="s">
        <v>284</v>
      </c>
      <c r="K15" s="43" t="s">
        <v>268</v>
      </c>
      <c r="L15" s="11"/>
    </row>
    <row r="16" spans="1:12" ht="46.5" x14ac:dyDescent="0.25">
      <c r="A16" s="4">
        <v>14</v>
      </c>
      <c r="B16" s="12">
        <v>908321246</v>
      </c>
      <c r="C16" s="12" t="s">
        <v>265</v>
      </c>
      <c r="D16" s="5">
        <v>28598343</v>
      </c>
      <c r="E16" s="4">
        <f>1+2</f>
        <v>3</v>
      </c>
      <c r="F16" s="14">
        <v>3</v>
      </c>
      <c r="G16" s="6">
        <f>E16-F16</f>
        <v>0</v>
      </c>
      <c r="H16" s="44" t="s">
        <v>267</v>
      </c>
      <c r="I16" s="8" t="s">
        <v>13</v>
      </c>
      <c r="J16" s="42">
        <v>46123</v>
      </c>
      <c r="K16" s="42" t="s">
        <v>269</v>
      </c>
      <c r="L16" s="11"/>
    </row>
    <row r="17" spans="1:12" ht="28.5" x14ac:dyDescent="0.25">
      <c r="A17" s="4">
        <v>15</v>
      </c>
      <c r="B17" s="12">
        <v>908020201</v>
      </c>
      <c r="C17" s="12" t="s">
        <v>12</v>
      </c>
      <c r="D17" s="5"/>
      <c r="E17" s="4"/>
      <c r="F17" s="14">
        <v>3</v>
      </c>
      <c r="G17" s="6">
        <f>E17-F17</f>
        <v>-3</v>
      </c>
      <c r="H17" s="41"/>
      <c r="I17" s="8" t="s">
        <v>13</v>
      </c>
      <c r="J17" s="42">
        <v>46123</v>
      </c>
      <c r="K17" s="42" t="s">
        <v>269</v>
      </c>
      <c r="L17" s="11"/>
    </row>
    <row r="18" spans="1:12" ht="28.5" x14ac:dyDescent="0.25">
      <c r="A18" s="4">
        <v>16</v>
      </c>
      <c r="B18" s="12">
        <v>908111010</v>
      </c>
      <c r="C18" s="12" t="s">
        <v>189</v>
      </c>
      <c r="D18" s="5">
        <v>28598343</v>
      </c>
      <c r="E18" s="4">
        <v>60</v>
      </c>
      <c r="F18" s="14">
        <v>30</v>
      </c>
      <c r="G18" s="6">
        <f>E18-F18</f>
        <v>30</v>
      </c>
      <c r="H18" s="41">
        <v>46125</v>
      </c>
      <c r="I18" s="8" t="s">
        <v>13</v>
      </c>
      <c r="J18" s="9">
        <v>46133</v>
      </c>
      <c r="K18" s="4" t="s">
        <v>103</v>
      </c>
      <c r="L18" s="11"/>
    </row>
    <row r="19" spans="1:12" ht="28.5" x14ac:dyDescent="0.25">
      <c r="A19" s="4">
        <v>17</v>
      </c>
      <c r="B19" s="12" t="s">
        <v>283</v>
      </c>
      <c r="C19" s="12" t="s">
        <v>81</v>
      </c>
      <c r="D19" s="5">
        <v>28598343</v>
      </c>
      <c r="E19" s="4">
        <v>75</v>
      </c>
      <c r="F19" s="14">
        <v>75</v>
      </c>
      <c r="G19" s="6">
        <f t="shared" ref="G19:G21" si="1">E19-F19</f>
        <v>0</v>
      </c>
      <c r="H19" s="7"/>
      <c r="I19" s="8" t="s">
        <v>13</v>
      </c>
      <c r="J19" s="9">
        <v>46133</v>
      </c>
      <c r="K19" s="4" t="s">
        <v>103</v>
      </c>
      <c r="L19" s="11"/>
    </row>
    <row r="20" spans="1:12" ht="28.5" x14ac:dyDescent="0.25">
      <c r="A20" s="4">
        <v>18</v>
      </c>
      <c r="B20" s="10">
        <v>908111101</v>
      </c>
      <c r="C20" s="11" t="s">
        <v>47</v>
      </c>
      <c r="D20" s="5">
        <v>28598343</v>
      </c>
      <c r="E20" s="4">
        <v>6</v>
      </c>
      <c r="F20" s="14"/>
      <c r="G20" s="6">
        <f t="shared" si="1"/>
        <v>6</v>
      </c>
      <c r="H20" s="7"/>
      <c r="I20" s="8" t="s">
        <v>13</v>
      </c>
      <c r="J20" s="9"/>
      <c r="K20" s="4"/>
      <c r="L20" s="11"/>
    </row>
    <row r="21" spans="1:12" ht="52.5" x14ac:dyDescent="0.25">
      <c r="A21" s="4">
        <v>19</v>
      </c>
      <c r="B21" s="10" t="s">
        <v>285</v>
      </c>
      <c r="C21" s="11" t="s">
        <v>286</v>
      </c>
      <c r="D21" s="5">
        <v>28598343</v>
      </c>
      <c r="E21" s="4">
        <v>6</v>
      </c>
      <c r="F21" s="14">
        <f>4+2</f>
        <v>6</v>
      </c>
      <c r="G21" s="6">
        <f t="shared" si="1"/>
        <v>0</v>
      </c>
      <c r="H21" s="7">
        <v>46134</v>
      </c>
      <c r="I21" s="8" t="s">
        <v>13</v>
      </c>
      <c r="J21" s="24" t="s">
        <v>288</v>
      </c>
      <c r="K21" s="43" t="s">
        <v>268</v>
      </c>
      <c r="L21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80E5-3D21-42EB-9944-2D1F92476DCE}">
  <dimension ref="A1:L13"/>
  <sheetViews>
    <sheetView zoomScale="78" zoomScaleNormal="78" workbookViewId="0">
      <selection activeCell="D19" sqref="D19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254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28917621</v>
      </c>
      <c r="E3" s="4">
        <v>27</v>
      </c>
      <c r="F3" s="14">
        <v>28</v>
      </c>
      <c r="G3" s="6">
        <f>E3-F3</f>
        <v>-1</v>
      </c>
      <c r="H3" s="7">
        <v>46125</v>
      </c>
      <c r="I3" s="8" t="s">
        <v>13</v>
      </c>
      <c r="J3" s="9">
        <v>46126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28917621</v>
      </c>
      <c r="E4" s="4">
        <v>34</v>
      </c>
      <c r="F4" s="14">
        <v>32</v>
      </c>
      <c r="G4" s="6">
        <f t="shared" ref="G4:G13" si="0">E4-F4</f>
        <v>2</v>
      </c>
      <c r="H4" s="7">
        <v>46125</v>
      </c>
      <c r="I4" s="8" t="s">
        <v>13</v>
      </c>
      <c r="J4" s="9">
        <v>46126</v>
      </c>
      <c r="K4" s="4" t="s">
        <v>116</v>
      </c>
      <c r="L4" s="11"/>
    </row>
    <row r="5" spans="1:12" ht="28.5" x14ac:dyDescent="0.25">
      <c r="A5" s="4">
        <v>3</v>
      </c>
      <c r="B5" s="10">
        <v>908121008</v>
      </c>
      <c r="C5" s="11" t="s">
        <v>14</v>
      </c>
      <c r="D5" s="5">
        <v>28917621</v>
      </c>
      <c r="E5" s="4">
        <v>2</v>
      </c>
      <c r="F5" s="14">
        <v>2</v>
      </c>
      <c r="G5" s="6">
        <f t="shared" si="0"/>
        <v>0</v>
      </c>
      <c r="H5" s="7">
        <v>46125</v>
      </c>
      <c r="I5" s="8" t="s">
        <v>13</v>
      </c>
      <c r="J5" s="9">
        <v>46126</v>
      </c>
      <c r="K5" s="4" t="s">
        <v>116</v>
      </c>
      <c r="L5" s="11"/>
    </row>
    <row r="6" spans="1:12" ht="52.5" x14ac:dyDescent="0.25">
      <c r="A6" s="4">
        <v>4</v>
      </c>
      <c r="B6" s="10">
        <v>908121010</v>
      </c>
      <c r="C6" s="11" t="s">
        <v>22</v>
      </c>
      <c r="D6" s="5">
        <v>28917621</v>
      </c>
      <c r="E6" s="4">
        <v>2</v>
      </c>
      <c r="F6" s="14">
        <f>1+1</f>
        <v>2</v>
      </c>
      <c r="G6" s="6">
        <f t="shared" si="0"/>
        <v>0</v>
      </c>
      <c r="H6" s="7">
        <v>46125</v>
      </c>
      <c r="I6" s="8" t="s">
        <v>13</v>
      </c>
      <c r="J6" s="24" t="s">
        <v>284</v>
      </c>
      <c r="K6" s="4" t="s">
        <v>116</v>
      </c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>
        <v>28917621</v>
      </c>
      <c r="E7" s="4">
        <v>3</v>
      </c>
      <c r="F7" s="14">
        <v>3</v>
      </c>
      <c r="G7" s="6">
        <f t="shared" si="0"/>
        <v>0</v>
      </c>
      <c r="H7" s="7">
        <v>46125</v>
      </c>
      <c r="I7" s="8" t="s">
        <v>13</v>
      </c>
      <c r="J7" s="9">
        <v>46131</v>
      </c>
      <c r="K7" s="4" t="s">
        <v>116</v>
      </c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28917621</v>
      </c>
      <c r="E8" s="4">
        <v>2</v>
      </c>
      <c r="F8" s="14">
        <v>2</v>
      </c>
      <c r="G8" s="6">
        <f t="shared" si="0"/>
        <v>0</v>
      </c>
      <c r="H8" s="7">
        <v>46125</v>
      </c>
      <c r="I8" s="8" t="s">
        <v>13</v>
      </c>
      <c r="J8" s="9">
        <v>46126</v>
      </c>
      <c r="K8" s="4" t="s">
        <v>116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>
        <v>28917621</v>
      </c>
      <c r="E9" s="4">
        <v>6</v>
      </c>
      <c r="F9" s="14">
        <v>6</v>
      </c>
      <c r="G9" s="6">
        <f t="shared" si="0"/>
        <v>0</v>
      </c>
      <c r="H9" s="7">
        <v>46125</v>
      </c>
      <c r="I9" s="8" t="s">
        <v>13</v>
      </c>
      <c r="J9" s="9">
        <v>46126</v>
      </c>
      <c r="K9" s="4" t="s">
        <v>116</v>
      </c>
      <c r="L9" s="11"/>
    </row>
    <row r="10" spans="1:12" ht="28.5" x14ac:dyDescent="0.25">
      <c r="A10" s="4">
        <v>8</v>
      </c>
      <c r="B10" s="10">
        <v>908202030</v>
      </c>
      <c r="C10" s="11" t="s">
        <v>15</v>
      </c>
      <c r="D10" s="5">
        <v>28917621</v>
      </c>
      <c r="E10" s="4">
        <v>2</v>
      </c>
      <c r="F10" s="14"/>
      <c r="G10" s="6">
        <f t="shared" si="0"/>
        <v>2</v>
      </c>
      <c r="H10" s="7">
        <v>46125</v>
      </c>
      <c r="I10" s="8" t="s">
        <v>13</v>
      </c>
      <c r="J10" s="9"/>
      <c r="K10" s="4" t="s">
        <v>116</v>
      </c>
      <c r="L10" s="11"/>
    </row>
    <row r="11" spans="1:12" ht="28.5" x14ac:dyDescent="0.25">
      <c r="A11" s="4">
        <v>9</v>
      </c>
      <c r="B11" s="10">
        <v>908312027</v>
      </c>
      <c r="C11" s="11" t="s">
        <v>33</v>
      </c>
      <c r="D11" s="5">
        <v>28917621</v>
      </c>
      <c r="E11" s="4">
        <v>1</v>
      </c>
      <c r="F11" s="14">
        <v>1</v>
      </c>
      <c r="G11" s="6">
        <f t="shared" si="0"/>
        <v>0</v>
      </c>
      <c r="H11" s="7">
        <v>46141</v>
      </c>
      <c r="I11" s="8" t="s">
        <v>13</v>
      </c>
      <c r="J11" s="9">
        <v>46126</v>
      </c>
      <c r="K11" s="4" t="s">
        <v>116</v>
      </c>
      <c r="L11" s="11"/>
    </row>
    <row r="12" spans="1:12" ht="28.5" x14ac:dyDescent="0.25">
      <c r="A12" s="4">
        <v>10</v>
      </c>
      <c r="B12" s="10" t="s">
        <v>16</v>
      </c>
      <c r="C12" s="11" t="s">
        <v>19</v>
      </c>
      <c r="D12" s="5">
        <v>28917621</v>
      </c>
      <c r="E12" s="4">
        <v>2</v>
      </c>
      <c r="F12" s="14">
        <v>2</v>
      </c>
      <c r="G12" s="6">
        <f t="shared" si="0"/>
        <v>0</v>
      </c>
      <c r="H12" s="7">
        <v>46125</v>
      </c>
      <c r="I12" s="8" t="s">
        <v>13</v>
      </c>
      <c r="J12" s="9">
        <v>46126</v>
      </c>
      <c r="K12" s="4" t="s">
        <v>116</v>
      </c>
      <c r="L12" s="11"/>
    </row>
    <row r="13" spans="1:12" ht="28.5" x14ac:dyDescent="0.25">
      <c r="A13" s="4">
        <v>11</v>
      </c>
      <c r="B13" s="10">
        <v>908020201</v>
      </c>
      <c r="C13" s="11" t="s">
        <v>12</v>
      </c>
      <c r="D13" s="5">
        <v>28917621</v>
      </c>
      <c r="E13" s="4">
        <v>1</v>
      </c>
      <c r="F13" s="14">
        <v>1</v>
      </c>
      <c r="G13" s="6">
        <f t="shared" si="0"/>
        <v>0</v>
      </c>
      <c r="H13" s="7">
        <v>46127</v>
      </c>
      <c r="I13" s="8" t="s">
        <v>13</v>
      </c>
      <c r="J13" s="9">
        <v>46126</v>
      </c>
      <c r="K13" s="4" t="s">
        <v>116</v>
      </c>
      <c r="L13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F177-8E25-4051-915C-529BA8E79C1F}">
  <dimension ref="A1:L13"/>
  <sheetViews>
    <sheetView zoomScale="78" zoomScaleNormal="78" workbookViewId="0">
      <selection activeCell="H24" sqref="H24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246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28887596</v>
      </c>
      <c r="E3" s="4">
        <v>65</v>
      </c>
      <c r="F3" s="14">
        <v>57</v>
      </c>
      <c r="G3" s="6">
        <f>E3-F3</f>
        <v>8</v>
      </c>
      <c r="H3" s="7"/>
      <c r="I3" s="8"/>
      <c r="J3" s="9">
        <v>46123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28887596</v>
      </c>
      <c r="E4" s="4">
        <v>25</v>
      </c>
      <c r="F4" s="14">
        <v>26</v>
      </c>
      <c r="G4" s="6">
        <f t="shared" ref="G4:G13" si="0">E4-F4</f>
        <v>-1</v>
      </c>
      <c r="H4" s="7"/>
      <c r="I4" s="8"/>
      <c r="J4" s="9">
        <v>46123</v>
      </c>
      <c r="K4" s="4" t="s">
        <v>116</v>
      </c>
      <c r="L4" s="11"/>
    </row>
    <row r="5" spans="1:12" ht="28.5" x14ac:dyDescent="0.25">
      <c r="A5" s="4">
        <v>3</v>
      </c>
      <c r="B5" s="10">
        <v>908121008</v>
      </c>
      <c r="C5" s="11" t="s">
        <v>14</v>
      </c>
      <c r="D5" s="5">
        <v>28887596</v>
      </c>
      <c r="E5" s="4">
        <v>2</v>
      </c>
      <c r="F5" s="14">
        <v>2</v>
      </c>
      <c r="G5" s="6">
        <f t="shared" si="0"/>
        <v>0</v>
      </c>
      <c r="H5" s="7">
        <v>46119</v>
      </c>
      <c r="I5" s="8" t="s">
        <v>13</v>
      </c>
      <c r="J5" s="9">
        <v>46123</v>
      </c>
      <c r="K5" s="4" t="s">
        <v>116</v>
      </c>
      <c r="L5" s="11"/>
    </row>
    <row r="6" spans="1:12" ht="52.5" x14ac:dyDescent="0.25">
      <c r="A6" s="4">
        <v>4</v>
      </c>
      <c r="B6" s="10">
        <v>908121010</v>
      </c>
      <c r="C6" s="11" t="s">
        <v>22</v>
      </c>
      <c r="D6" s="5">
        <v>28887596</v>
      </c>
      <c r="E6" s="4">
        <v>2</v>
      </c>
      <c r="F6" s="14">
        <f>1+1</f>
        <v>2</v>
      </c>
      <c r="G6" s="6">
        <f t="shared" si="0"/>
        <v>0</v>
      </c>
      <c r="H6" s="7">
        <v>46119</v>
      </c>
      <c r="I6" s="8" t="s">
        <v>13</v>
      </c>
      <c r="J6" s="24" t="s">
        <v>270</v>
      </c>
      <c r="K6" s="4" t="s">
        <v>116</v>
      </c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>
        <v>28887596</v>
      </c>
      <c r="E7" s="4">
        <v>3</v>
      </c>
      <c r="F7" s="14">
        <v>3</v>
      </c>
      <c r="G7" s="6">
        <f t="shared" si="0"/>
        <v>0</v>
      </c>
      <c r="H7" s="7">
        <v>46119</v>
      </c>
      <c r="I7" s="8" t="s">
        <v>13</v>
      </c>
      <c r="J7" s="9">
        <v>46126</v>
      </c>
      <c r="K7" s="4" t="s">
        <v>116</v>
      </c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28887596</v>
      </c>
      <c r="E8" s="4">
        <v>2</v>
      </c>
      <c r="F8" s="14">
        <v>2</v>
      </c>
      <c r="G8" s="6">
        <f t="shared" si="0"/>
        <v>0</v>
      </c>
      <c r="H8" s="7">
        <v>46119</v>
      </c>
      <c r="I8" s="8" t="s">
        <v>13</v>
      </c>
      <c r="J8" s="9">
        <v>46123</v>
      </c>
      <c r="K8" s="4" t="s">
        <v>116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>
        <v>28887596</v>
      </c>
      <c r="E9" s="4"/>
      <c r="F9" s="14">
        <v>6</v>
      </c>
      <c r="G9" s="6">
        <f t="shared" si="0"/>
        <v>-6</v>
      </c>
      <c r="H9" s="7"/>
      <c r="I9" s="8"/>
      <c r="J9" s="9">
        <v>46123</v>
      </c>
      <c r="K9" s="4" t="s">
        <v>116</v>
      </c>
      <c r="L9" s="11"/>
    </row>
    <row r="10" spans="1:12" ht="28.5" x14ac:dyDescent="0.25">
      <c r="A10" s="4">
        <v>8</v>
      </c>
      <c r="B10" s="10">
        <v>908202030</v>
      </c>
      <c r="C10" s="11" t="s">
        <v>15</v>
      </c>
      <c r="D10" s="5">
        <v>28887596</v>
      </c>
      <c r="E10" s="4">
        <v>2</v>
      </c>
      <c r="F10" s="14">
        <v>2</v>
      </c>
      <c r="G10" s="6">
        <f t="shared" si="0"/>
        <v>0</v>
      </c>
      <c r="H10" s="7">
        <v>46119</v>
      </c>
      <c r="I10" s="8" t="s">
        <v>13</v>
      </c>
      <c r="J10" s="9">
        <v>46123</v>
      </c>
      <c r="K10" s="4" t="s">
        <v>116</v>
      </c>
      <c r="L10" s="11"/>
    </row>
    <row r="11" spans="1:12" ht="28.5" x14ac:dyDescent="0.25">
      <c r="A11" s="4">
        <v>9</v>
      </c>
      <c r="B11" s="10">
        <v>908312027</v>
      </c>
      <c r="C11" s="11" t="s">
        <v>33</v>
      </c>
      <c r="D11" s="5">
        <v>28887596</v>
      </c>
      <c r="E11" s="4">
        <v>1</v>
      </c>
      <c r="F11" s="14">
        <v>1</v>
      </c>
      <c r="G11" s="6">
        <f t="shared" si="0"/>
        <v>0</v>
      </c>
      <c r="H11" s="7">
        <v>46117</v>
      </c>
      <c r="I11" s="8"/>
      <c r="J11" s="9">
        <v>46123</v>
      </c>
      <c r="K11" s="4" t="s">
        <v>116</v>
      </c>
      <c r="L11" s="11"/>
    </row>
    <row r="12" spans="1:12" ht="28.5" x14ac:dyDescent="0.25">
      <c r="A12" s="4">
        <v>10</v>
      </c>
      <c r="B12" s="10" t="s">
        <v>16</v>
      </c>
      <c r="C12" s="11" t="s">
        <v>19</v>
      </c>
      <c r="D12" s="5">
        <v>28887596</v>
      </c>
      <c r="E12" s="4">
        <v>2</v>
      </c>
      <c r="F12" s="14">
        <v>2</v>
      </c>
      <c r="G12" s="6">
        <f t="shared" si="0"/>
        <v>0</v>
      </c>
      <c r="H12" s="7">
        <v>46119</v>
      </c>
      <c r="I12" s="8" t="s">
        <v>13</v>
      </c>
      <c r="J12" s="9">
        <v>46123</v>
      </c>
      <c r="K12" s="4" t="s">
        <v>116</v>
      </c>
      <c r="L12" s="11"/>
    </row>
    <row r="13" spans="1:12" ht="28.5" x14ac:dyDescent="0.25">
      <c r="A13" s="4">
        <v>11</v>
      </c>
      <c r="B13" s="10">
        <v>908020201</v>
      </c>
      <c r="C13" s="11" t="s">
        <v>12</v>
      </c>
      <c r="D13" s="5">
        <v>28887596</v>
      </c>
      <c r="E13" s="4">
        <v>1</v>
      </c>
      <c r="F13" s="14"/>
      <c r="G13" s="6">
        <f t="shared" si="0"/>
        <v>1</v>
      </c>
      <c r="H13" s="7">
        <v>46117</v>
      </c>
      <c r="I13" s="8"/>
      <c r="J13" s="9"/>
      <c r="K13" s="4"/>
      <c r="L13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9359-0E23-4D7D-AE88-BE59E0FC3E95}">
  <sheetPr>
    <pageSetUpPr fitToPage="1"/>
  </sheetPr>
  <dimension ref="A1:L4"/>
  <sheetViews>
    <sheetView zoomScale="78" zoomScaleNormal="78" workbookViewId="0">
      <selection activeCell="C23" sqref="C23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245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50</v>
      </c>
      <c r="C3" s="11" t="s">
        <v>51</v>
      </c>
      <c r="D3" s="5"/>
      <c r="E3" s="4"/>
      <c r="F3" s="14">
        <v>20</v>
      </c>
      <c r="G3" s="6">
        <f>E3-F3</f>
        <v>-20</v>
      </c>
      <c r="H3" s="7"/>
      <c r="I3" s="8"/>
      <c r="J3" s="9">
        <v>46121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/>
      <c r="E4" s="4"/>
      <c r="F4" s="14">
        <v>2</v>
      </c>
      <c r="G4" s="6">
        <f>E4-F4</f>
        <v>-2</v>
      </c>
      <c r="H4" s="7"/>
      <c r="I4" s="8"/>
      <c r="J4" s="9">
        <v>46126</v>
      </c>
      <c r="K4" s="4" t="s">
        <v>116</v>
      </c>
      <c r="L4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ED9C-552F-497E-A44F-53341A002122}">
  <sheetPr>
    <pageSetUpPr fitToPage="1"/>
  </sheetPr>
  <dimension ref="A1:L13"/>
  <sheetViews>
    <sheetView zoomScale="78" zoomScaleNormal="78" workbookViewId="0">
      <selection activeCell="E18" sqref="E1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52</v>
      </c>
      <c r="C3" s="11" t="s">
        <v>53</v>
      </c>
      <c r="D3" s="5">
        <v>28706187</v>
      </c>
      <c r="E3" s="4">
        <v>80</v>
      </c>
      <c r="F3" s="14">
        <v>80</v>
      </c>
      <c r="G3" s="6">
        <f>E3-F3</f>
        <v>0</v>
      </c>
      <c r="H3" s="7">
        <v>46132</v>
      </c>
      <c r="I3" s="8" t="s">
        <v>13</v>
      </c>
      <c r="J3" s="9">
        <v>46116</v>
      </c>
      <c r="K3" s="4" t="s">
        <v>241</v>
      </c>
      <c r="L3" s="11"/>
    </row>
    <row r="4" spans="1:12" ht="28.5" x14ac:dyDescent="0.25">
      <c r="A4" s="4">
        <v>2</v>
      </c>
      <c r="B4" s="12" t="s">
        <v>50</v>
      </c>
      <c r="C4" s="11" t="s">
        <v>51</v>
      </c>
      <c r="D4" s="5">
        <v>28706187</v>
      </c>
      <c r="E4" s="4">
        <v>35</v>
      </c>
      <c r="F4" s="14">
        <v>37</v>
      </c>
      <c r="G4" s="6">
        <f t="shared" ref="G4:G13" si="0">E4-F4</f>
        <v>-2</v>
      </c>
      <c r="H4" s="7"/>
      <c r="I4" s="8"/>
      <c r="J4" s="9">
        <v>46116</v>
      </c>
      <c r="K4" s="4" t="s">
        <v>241</v>
      </c>
      <c r="L4" s="11"/>
    </row>
    <row r="5" spans="1:12" ht="28.5" x14ac:dyDescent="0.25">
      <c r="A5" s="4">
        <v>3</v>
      </c>
      <c r="B5" s="12">
        <v>908121008</v>
      </c>
      <c r="C5" s="11" t="s">
        <v>14</v>
      </c>
      <c r="D5" s="5">
        <v>28706187</v>
      </c>
      <c r="E5" s="4">
        <v>2</v>
      </c>
      <c r="F5" s="14">
        <v>2</v>
      </c>
      <c r="G5" s="6">
        <f t="shared" si="0"/>
        <v>0</v>
      </c>
      <c r="H5" s="7">
        <v>46089</v>
      </c>
      <c r="I5" s="8" t="s">
        <v>13</v>
      </c>
      <c r="J5" s="9">
        <v>46116</v>
      </c>
      <c r="K5" s="4" t="s">
        <v>241</v>
      </c>
      <c r="L5" s="11"/>
    </row>
    <row r="6" spans="1:12" ht="52.5" x14ac:dyDescent="0.25">
      <c r="A6" s="4">
        <v>4</v>
      </c>
      <c r="B6" s="12">
        <v>908121010</v>
      </c>
      <c r="C6" s="11" t="s">
        <v>22</v>
      </c>
      <c r="D6" s="5">
        <v>28706187</v>
      </c>
      <c r="E6" s="4">
        <v>2</v>
      </c>
      <c r="F6" s="14">
        <f>1+1</f>
        <v>2</v>
      </c>
      <c r="G6" s="6">
        <f t="shared" si="0"/>
        <v>0</v>
      </c>
      <c r="H6" s="7">
        <v>46089</v>
      </c>
      <c r="I6" s="8"/>
      <c r="J6" s="24" t="s">
        <v>247</v>
      </c>
      <c r="K6" s="4" t="s">
        <v>241</v>
      </c>
      <c r="L6" s="11"/>
    </row>
    <row r="7" spans="1:12" ht="28.5" x14ac:dyDescent="0.25">
      <c r="A7" s="4">
        <v>5</v>
      </c>
      <c r="B7" s="12">
        <v>908122011</v>
      </c>
      <c r="C7" s="11" t="s">
        <v>55</v>
      </c>
      <c r="D7" s="5"/>
      <c r="E7" s="4"/>
      <c r="F7" s="14">
        <v>3</v>
      </c>
      <c r="G7" s="6">
        <f t="shared" si="0"/>
        <v>-3</v>
      </c>
      <c r="H7" s="7"/>
      <c r="I7" s="8"/>
      <c r="J7" s="9">
        <v>46123</v>
      </c>
      <c r="K7" s="4" t="s">
        <v>116</v>
      </c>
      <c r="L7" s="11"/>
    </row>
    <row r="8" spans="1:12" ht="28.5" x14ac:dyDescent="0.25">
      <c r="A8" s="4">
        <v>6</v>
      </c>
      <c r="B8" s="12">
        <v>908202098</v>
      </c>
      <c r="C8" s="11" t="s">
        <v>20</v>
      </c>
      <c r="D8" s="5">
        <v>28706187</v>
      </c>
      <c r="E8" s="4">
        <v>2</v>
      </c>
      <c r="F8" s="14">
        <v>2</v>
      </c>
      <c r="G8" s="6">
        <f t="shared" si="0"/>
        <v>0</v>
      </c>
      <c r="H8" s="7">
        <v>46091</v>
      </c>
      <c r="I8" s="8" t="s">
        <v>13</v>
      </c>
      <c r="J8" s="9">
        <v>46116</v>
      </c>
      <c r="K8" s="4" t="s">
        <v>241</v>
      </c>
      <c r="L8" s="11"/>
    </row>
    <row r="9" spans="1:12" ht="28.5" x14ac:dyDescent="0.25">
      <c r="A9" s="4">
        <v>7</v>
      </c>
      <c r="B9" s="12">
        <v>908111101</v>
      </c>
      <c r="C9" s="11" t="s">
        <v>47</v>
      </c>
      <c r="D9" s="5">
        <v>28706187</v>
      </c>
      <c r="E9" s="4">
        <v>6</v>
      </c>
      <c r="F9" s="14">
        <v>6</v>
      </c>
      <c r="G9" s="6">
        <f t="shared" si="0"/>
        <v>0</v>
      </c>
      <c r="H9" s="7">
        <v>46092</v>
      </c>
      <c r="I9" s="8"/>
      <c r="J9" s="9">
        <v>46116</v>
      </c>
      <c r="K9" s="4" t="s">
        <v>241</v>
      </c>
      <c r="L9" s="11"/>
    </row>
    <row r="10" spans="1:12" ht="28.5" x14ac:dyDescent="0.25">
      <c r="A10" s="4">
        <v>8</v>
      </c>
      <c r="B10" s="12">
        <v>908202030</v>
      </c>
      <c r="C10" s="11" t="s">
        <v>15</v>
      </c>
      <c r="D10" s="5">
        <v>28706187</v>
      </c>
      <c r="E10" s="4">
        <v>2</v>
      </c>
      <c r="F10" s="14">
        <v>2</v>
      </c>
      <c r="G10" s="6">
        <f t="shared" si="0"/>
        <v>0</v>
      </c>
      <c r="H10" s="7">
        <v>46092</v>
      </c>
      <c r="I10" s="8"/>
      <c r="J10" s="9">
        <v>46116</v>
      </c>
      <c r="K10" s="4" t="s">
        <v>241</v>
      </c>
      <c r="L10" s="11"/>
    </row>
    <row r="11" spans="1:12" ht="28.5" x14ac:dyDescent="0.25">
      <c r="A11" s="4">
        <v>9</v>
      </c>
      <c r="B11" s="12">
        <v>908312027</v>
      </c>
      <c r="C11" s="11" t="s">
        <v>33</v>
      </c>
      <c r="D11" s="5">
        <v>28706187</v>
      </c>
      <c r="E11" s="4">
        <v>1</v>
      </c>
      <c r="F11" s="14">
        <v>1</v>
      </c>
      <c r="G11" s="6">
        <f t="shared" si="0"/>
        <v>0</v>
      </c>
      <c r="H11" s="7">
        <v>46092</v>
      </c>
      <c r="I11" s="8" t="s">
        <v>13</v>
      </c>
      <c r="J11" s="9">
        <v>46116</v>
      </c>
      <c r="K11" s="4" t="s">
        <v>241</v>
      </c>
      <c r="L11" s="11"/>
    </row>
    <row r="12" spans="1:12" ht="28.5" x14ac:dyDescent="0.25">
      <c r="A12" s="4">
        <v>10</v>
      </c>
      <c r="B12" s="12" t="s">
        <v>16</v>
      </c>
      <c r="C12" s="11" t="s">
        <v>19</v>
      </c>
      <c r="D12" s="5">
        <v>28706187</v>
      </c>
      <c r="E12" s="4">
        <v>2</v>
      </c>
      <c r="F12" s="14">
        <v>2</v>
      </c>
      <c r="G12" s="6">
        <f t="shared" si="0"/>
        <v>0</v>
      </c>
      <c r="H12" s="7">
        <v>46092</v>
      </c>
      <c r="I12" s="8"/>
      <c r="J12" s="9">
        <v>46116</v>
      </c>
      <c r="K12" s="4" t="s">
        <v>241</v>
      </c>
      <c r="L12" s="11"/>
    </row>
    <row r="13" spans="1:12" ht="28.5" x14ac:dyDescent="0.25">
      <c r="A13" s="4">
        <v>11</v>
      </c>
      <c r="B13" s="12">
        <v>908020201</v>
      </c>
      <c r="C13" s="11" t="s">
        <v>12</v>
      </c>
      <c r="D13" s="5">
        <v>28706187</v>
      </c>
      <c r="E13" s="4">
        <v>1</v>
      </c>
      <c r="F13" s="14"/>
      <c r="G13" s="6">
        <f t="shared" si="0"/>
        <v>1</v>
      </c>
      <c r="H13" s="7">
        <v>46092</v>
      </c>
      <c r="I13" s="8" t="s">
        <v>13</v>
      </c>
      <c r="J13" s="9"/>
      <c r="K13" s="4"/>
      <c r="L13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C8D4-1D90-4CD0-9D9A-18471729A1B6}">
  <sheetPr>
    <pageSetUpPr fitToPage="1"/>
  </sheetPr>
  <dimension ref="A1:L13"/>
  <sheetViews>
    <sheetView zoomScale="78" zoomScaleNormal="78" workbookViewId="0">
      <selection activeCell="G22" sqref="G22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235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52</v>
      </c>
      <c r="C3" s="11" t="s">
        <v>53</v>
      </c>
      <c r="D3" s="5">
        <v>28737246</v>
      </c>
      <c r="E3" s="4">
        <v>54</v>
      </c>
      <c r="F3" s="14">
        <v>54</v>
      </c>
      <c r="G3" s="6">
        <f>E3-F3</f>
        <v>0</v>
      </c>
      <c r="H3" s="7">
        <v>46083</v>
      </c>
      <c r="I3" s="8" t="s">
        <v>177</v>
      </c>
      <c r="J3" s="9">
        <v>46112</v>
      </c>
      <c r="K3" s="4" t="s">
        <v>116</v>
      </c>
      <c r="L3" s="11"/>
    </row>
    <row r="4" spans="1:12" ht="28.5" x14ac:dyDescent="0.25">
      <c r="A4" s="4">
        <v>2</v>
      </c>
      <c r="B4" s="12" t="s">
        <v>50</v>
      </c>
      <c r="C4" s="11" t="s">
        <v>51</v>
      </c>
      <c r="D4" s="5">
        <v>28737246</v>
      </c>
      <c r="E4" s="4">
        <v>21</v>
      </c>
      <c r="F4" s="14">
        <v>21</v>
      </c>
      <c r="G4" s="6">
        <f>E4-F4</f>
        <v>0</v>
      </c>
      <c r="H4" s="7">
        <v>46083</v>
      </c>
      <c r="I4" s="8" t="s">
        <v>177</v>
      </c>
      <c r="J4" s="9">
        <v>46112</v>
      </c>
      <c r="K4" s="4" t="s">
        <v>116</v>
      </c>
      <c r="L4" s="11"/>
    </row>
    <row r="5" spans="1:12" ht="28.5" x14ac:dyDescent="0.25">
      <c r="A5" s="4">
        <v>3</v>
      </c>
      <c r="B5" s="12">
        <v>908121008</v>
      </c>
      <c r="C5" s="11" t="s">
        <v>14</v>
      </c>
      <c r="D5" s="5">
        <v>28737246</v>
      </c>
      <c r="E5" s="4">
        <v>2</v>
      </c>
      <c r="F5" s="14">
        <v>2</v>
      </c>
      <c r="G5" s="6">
        <f t="shared" ref="G5:G13" si="0">E5-F5</f>
        <v>0</v>
      </c>
      <c r="H5" s="7">
        <v>46083</v>
      </c>
      <c r="I5" s="8" t="s">
        <v>177</v>
      </c>
      <c r="J5" s="9">
        <v>46114</v>
      </c>
      <c r="K5" s="4" t="s">
        <v>116</v>
      </c>
      <c r="L5" s="11"/>
    </row>
    <row r="6" spans="1:12" ht="52.5" x14ac:dyDescent="0.25">
      <c r="A6" s="4">
        <v>4</v>
      </c>
      <c r="B6" s="12">
        <v>908121010</v>
      </c>
      <c r="C6" s="11" t="s">
        <v>22</v>
      </c>
      <c r="D6" s="5">
        <v>28737246</v>
      </c>
      <c r="E6" s="4">
        <v>2</v>
      </c>
      <c r="F6" s="14">
        <f>1+1</f>
        <v>2</v>
      </c>
      <c r="G6" s="6">
        <f t="shared" si="0"/>
        <v>0</v>
      </c>
      <c r="H6" s="7">
        <v>46083</v>
      </c>
      <c r="I6" s="8" t="s">
        <v>177</v>
      </c>
      <c r="J6" s="24" t="s">
        <v>243</v>
      </c>
      <c r="K6" s="4" t="s">
        <v>116</v>
      </c>
      <c r="L6" s="11"/>
    </row>
    <row r="7" spans="1:12" ht="28.5" x14ac:dyDescent="0.25">
      <c r="A7" s="4">
        <v>5</v>
      </c>
      <c r="B7" s="12">
        <v>908122011</v>
      </c>
      <c r="C7" s="11" t="s">
        <v>55</v>
      </c>
      <c r="D7" s="5">
        <v>28737246</v>
      </c>
      <c r="E7" s="4">
        <v>3</v>
      </c>
      <c r="F7" s="14">
        <v>3</v>
      </c>
      <c r="G7" s="6">
        <f t="shared" si="0"/>
        <v>0</v>
      </c>
      <c r="H7" s="7">
        <v>46083</v>
      </c>
      <c r="I7" s="8" t="s">
        <v>177</v>
      </c>
      <c r="J7" s="9">
        <v>46118</v>
      </c>
      <c r="K7" s="4" t="s">
        <v>116</v>
      </c>
      <c r="L7" s="11"/>
    </row>
    <row r="8" spans="1:12" ht="28.5" x14ac:dyDescent="0.25">
      <c r="A8" s="4">
        <v>6</v>
      </c>
      <c r="B8" s="12">
        <v>908202098</v>
      </c>
      <c r="C8" s="11" t="s">
        <v>20</v>
      </c>
      <c r="D8" s="5">
        <v>28688838</v>
      </c>
      <c r="E8" s="4">
        <v>2</v>
      </c>
      <c r="F8" s="14">
        <v>2</v>
      </c>
      <c r="G8" s="6">
        <f t="shared" si="0"/>
        <v>0</v>
      </c>
      <c r="H8" s="7">
        <v>46084</v>
      </c>
      <c r="I8" s="8" t="s">
        <v>177</v>
      </c>
      <c r="J8" s="9">
        <v>46114</v>
      </c>
      <c r="K8" s="4" t="s">
        <v>116</v>
      </c>
      <c r="L8" s="11"/>
    </row>
    <row r="9" spans="1:12" ht="28.5" x14ac:dyDescent="0.25">
      <c r="A9" s="4">
        <v>7</v>
      </c>
      <c r="B9" s="12">
        <v>908111101</v>
      </c>
      <c r="C9" s="11" t="s">
        <v>47</v>
      </c>
      <c r="D9" s="5">
        <v>28737246</v>
      </c>
      <c r="E9" s="4">
        <v>6</v>
      </c>
      <c r="F9" s="14">
        <v>6</v>
      </c>
      <c r="G9" s="6">
        <f t="shared" si="0"/>
        <v>0</v>
      </c>
      <c r="H9" s="7">
        <v>46083</v>
      </c>
      <c r="I9" s="8" t="s">
        <v>177</v>
      </c>
      <c r="J9" s="9">
        <v>46114</v>
      </c>
      <c r="K9" s="4" t="s">
        <v>116</v>
      </c>
      <c r="L9" s="11"/>
    </row>
    <row r="10" spans="1:12" ht="28.5" x14ac:dyDescent="0.25">
      <c r="A10" s="4">
        <v>8</v>
      </c>
      <c r="B10" s="12">
        <v>908202030</v>
      </c>
      <c r="C10" s="11" t="s">
        <v>15</v>
      </c>
      <c r="D10" s="5">
        <v>28737246</v>
      </c>
      <c r="E10" s="4">
        <v>2</v>
      </c>
      <c r="F10" s="14">
        <v>2</v>
      </c>
      <c r="G10" s="6">
        <f t="shared" si="0"/>
        <v>0</v>
      </c>
      <c r="H10" s="7">
        <v>46083</v>
      </c>
      <c r="I10" s="8" t="s">
        <v>177</v>
      </c>
      <c r="J10" s="9">
        <v>46114</v>
      </c>
      <c r="K10" s="4" t="s">
        <v>116</v>
      </c>
      <c r="L10" s="11"/>
    </row>
    <row r="11" spans="1:12" ht="28.5" x14ac:dyDescent="0.25">
      <c r="A11" s="4">
        <v>9</v>
      </c>
      <c r="B11" s="12">
        <v>908312027</v>
      </c>
      <c r="C11" s="11" t="s">
        <v>33</v>
      </c>
      <c r="D11" s="5">
        <v>28737246</v>
      </c>
      <c r="E11" s="4">
        <v>1</v>
      </c>
      <c r="F11" s="14">
        <v>1</v>
      </c>
      <c r="G11" s="6">
        <f t="shared" si="0"/>
        <v>0</v>
      </c>
      <c r="H11" s="7">
        <v>46083</v>
      </c>
      <c r="I11" s="8" t="s">
        <v>177</v>
      </c>
      <c r="J11" s="9">
        <v>46114</v>
      </c>
      <c r="K11" s="4" t="s">
        <v>116</v>
      </c>
      <c r="L11" s="11"/>
    </row>
    <row r="12" spans="1:12" ht="28.5" x14ac:dyDescent="0.25">
      <c r="A12" s="4">
        <v>10</v>
      </c>
      <c r="B12" s="12" t="s">
        <v>16</v>
      </c>
      <c r="C12" s="11" t="s">
        <v>19</v>
      </c>
      <c r="D12" s="5">
        <v>28737246</v>
      </c>
      <c r="E12" s="4">
        <v>2</v>
      </c>
      <c r="F12" s="14">
        <v>2</v>
      </c>
      <c r="G12" s="6">
        <f t="shared" si="0"/>
        <v>0</v>
      </c>
      <c r="H12" s="7">
        <v>46083</v>
      </c>
      <c r="I12" s="8" t="s">
        <v>177</v>
      </c>
      <c r="J12" s="9">
        <v>46114</v>
      </c>
      <c r="K12" s="4" t="s">
        <v>116</v>
      </c>
      <c r="L12" s="11"/>
    </row>
    <row r="13" spans="1:12" ht="28.5" x14ac:dyDescent="0.25">
      <c r="A13" s="4">
        <v>11</v>
      </c>
      <c r="B13" s="12">
        <v>908020201</v>
      </c>
      <c r="C13" s="11" t="s">
        <v>12</v>
      </c>
      <c r="D13" s="5">
        <v>28737246</v>
      </c>
      <c r="E13" s="4">
        <v>1</v>
      </c>
      <c r="F13" s="14"/>
      <c r="G13" s="6">
        <f t="shared" si="0"/>
        <v>1</v>
      </c>
      <c r="H13" s="7">
        <v>46083</v>
      </c>
      <c r="I13" s="8" t="s">
        <v>177</v>
      </c>
      <c r="J13" s="9"/>
      <c r="K13" s="4"/>
      <c r="L13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3687-A7C0-49BE-99B0-75AF5F8ED211}">
  <sheetPr>
    <pageSetUpPr fitToPage="1"/>
  </sheetPr>
  <dimension ref="A1:L19"/>
  <sheetViews>
    <sheetView zoomScale="78" zoomScaleNormal="78" workbookViewId="0">
      <selection activeCell="H4" sqref="H4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52</v>
      </c>
      <c r="C3" s="11" t="s">
        <v>53</v>
      </c>
      <c r="D3" s="5">
        <v>28732276</v>
      </c>
      <c r="E3" s="4">
        <v>85</v>
      </c>
      <c r="F3" s="14">
        <v>79</v>
      </c>
      <c r="G3" s="6">
        <f>E3-F3</f>
        <v>6</v>
      </c>
      <c r="H3" s="7">
        <v>46132</v>
      </c>
      <c r="I3" s="8" t="s">
        <v>13</v>
      </c>
      <c r="J3" s="9">
        <v>46111</v>
      </c>
      <c r="K3" s="4" t="s">
        <v>116</v>
      </c>
      <c r="L3" s="11"/>
    </row>
    <row r="4" spans="1:12" ht="52.5" x14ac:dyDescent="0.25">
      <c r="A4" s="4">
        <v>2</v>
      </c>
      <c r="B4" s="12" t="s">
        <v>50</v>
      </c>
      <c r="C4" s="11" t="s">
        <v>51</v>
      </c>
      <c r="D4" s="5">
        <v>28732276</v>
      </c>
      <c r="E4" s="4">
        <v>22</v>
      </c>
      <c r="F4" s="14">
        <f>15+10</f>
        <v>25</v>
      </c>
      <c r="G4" s="6">
        <f>E4-F4</f>
        <v>-3</v>
      </c>
      <c r="H4" s="7"/>
      <c r="I4" s="8"/>
      <c r="J4" s="24" t="s">
        <v>253</v>
      </c>
      <c r="K4" s="4" t="s">
        <v>116</v>
      </c>
      <c r="L4" s="11"/>
    </row>
    <row r="5" spans="1:12" ht="28.5" x14ac:dyDescent="0.25">
      <c r="A5" s="4">
        <v>3</v>
      </c>
      <c r="B5" s="12">
        <v>908121008</v>
      </c>
      <c r="C5" s="11" t="s">
        <v>14</v>
      </c>
      <c r="D5" s="5">
        <v>28732276</v>
      </c>
      <c r="E5" s="4">
        <v>2</v>
      </c>
      <c r="F5" s="14">
        <v>2</v>
      </c>
      <c r="G5" s="6">
        <f t="shared" ref="G5:G19" si="0">E5-F5</f>
        <v>0</v>
      </c>
      <c r="H5" s="7">
        <v>46083</v>
      </c>
      <c r="I5" s="8" t="s">
        <v>13</v>
      </c>
      <c r="J5" s="9">
        <v>46114</v>
      </c>
      <c r="K5" s="4" t="s">
        <v>116</v>
      </c>
      <c r="L5" s="11"/>
    </row>
    <row r="6" spans="1:12" ht="52.5" x14ac:dyDescent="0.25">
      <c r="A6" s="4">
        <v>4</v>
      </c>
      <c r="B6" s="12">
        <v>908121010</v>
      </c>
      <c r="C6" s="11" t="s">
        <v>22</v>
      </c>
      <c r="D6" s="5">
        <v>28732276</v>
      </c>
      <c r="E6" s="4">
        <v>2</v>
      </c>
      <c r="F6" s="14">
        <f>1+1</f>
        <v>2</v>
      </c>
      <c r="G6" s="6">
        <f t="shared" si="0"/>
        <v>0</v>
      </c>
      <c r="H6" s="7">
        <v>46083</v>
      </c>
      <c r="I6" s="8" t="s">
        <v>13</v>
      </c>
      <c r="J6" s="24" t="s">
        <v>251</v>
      </c>
      <c r="K6" s="4" t="s">
        <v>116</v>
      </c>
      <c r="L6" s="11"/>
    </row>
    <row r="7" spans="1:12" ht="28.5" x14ac:dyDescent="0.25">
      <c r="A7" s="4">
        <v>5</v>
      </c>
      <c r="B7" s="12">
        <v>908122011</v>
      </c>
      <c r="C7" s="11" t="s">
        <v>55</v>
      </c>
      <c r="D7" s="5">
        <v>28732276</v>
      </c>
      <c r="E7" s="4">
        <v>3</v>
      </c>
      <c r="F7" s="14">
        <v>3</v>
      </c>
      <c r="G7" s="6">
        <f t="shared" si="0"/>
        <v>0</v>
      </c>
      <c r="H7" s="7">
        <v>46083</v>
      </c>
      <c r="I7" s="8" t="s">
        <v>13</v>
      </c>
      <c r="J7" s="9">
        <v>46124</v>
      </c>
      <c r="K7" s="4" t="s">
        <v>116</v>
      </c>
      <c r="L7" s="11"/>
    </row>
    <row r="8" spans="1:12" ht="28.5" x14ac:dyDescent="0.25">
      <c r="A8" s="4">
        <v>6</v>
      </c>
      <c r="B8" s="12">
        <v>908202098</v>
      </c>
      <c r="C8" s="11" t="s">
        <v>20</v>
      </c>
      <c r="D8" s="5">
        <v>28732276</v>
      </c>
      <c r="E8" s="4">
        <v>2</v>
      </c>
      <c r="F8" s="14">
        <v>2</v>
      </c>
      <c r="G8" s="6">
        <f t="shared" si="0"/>
        <v>0</v>
      </c>
      <c r="H8" s="7">
        <v>46083</v>
      </c>
      <c r="I8" s="8" t="s">
        <v>13</v>
      </c>
      <c r="J8" s="9">
        <v>46114</v>
      </c>
      <c r="K8" s="4" t="s">
        <v>116</v>
      </c>
      <c r="L8" s="11"/>
    </row>
    <row r="9" spans="1:12" ht="52.5" x14ac:dyDescent="0.25">
      <c r="A9" s="4">
        <v>7</v>
      </c>
      <c r="B9" s="12">
        <v>908111101</v>
      </c>
      <c r="C9" s="11" t="s">
        <v>47</v>
      </c>
      <c r="D9" s="26" t="s">
        <v>248</v>
      </c>
      <c r="E9" s="4">
        <f>6+6</f>
        <v>12</v>
      </c>
      <c r="F9" s="14">
        <f>6+6</f>
        <v>12</v>
      </c>
      <c r="G9" s="6">
        <f t="shared" si="0"/>
        <v>0</v>
      </c>
      <c r="H9" s="7" t="s">
        <v>249</v>
      </c>
      <c r="I9" s="8" t="s">
        <v>13</v>
      </c>
      <c r="J9" s="24" t="s">
        <v>252</v>
      </c>
      <c r="K9" s="4" t="s">
        <v>116</v>
      </c>
      <c r="L9" s="11"/>
    </row>
    <row r="10" spans="1:12" ht="28.5" x14ac:dyDescent="0.25">
      <c r="A10" s="4">
        <v>8</v>
      </c>
      <c r="B10" s="12">
        <v>908202030</v>
      </c>
      <c r="C10" s="11" t="s">
        <v>15</v>
      </c>
      <c r="D10" s="5">
        <v>28732276</v>
      </c>
      <c r="E10" s="4">
        <v>2</v>
      </c>
      <c r="F10" s="14">
        <v>2</v>
      </c>
      <c r="G10" s="6">
        <f t="shared" si="0"/>
        <v>0</v>
      </c>
      <c r="H10" s="7">
        <v>46083</v>
      </c>
      <c r="I10" s="8" t="s">
        <v>13</v>
      </c>
      <c r="J10" s="9">
        <v>46114</v>
      </c>
      <c r="K10" s="4" t="s">
        <v>116</v>
      </c>
      <c r="L10" s="11"/>
    </row>
    <row r="11" spans="1:12" ht="28.5" x14ac:dyDescent="0.25">
      <c r="A11" s="4">
        <v>9</v>
      </c>
      <c r="B11" s="12">
        <v>908312027</v>
      </c>
      <c r="C11" s="11" t="s">
        <v>33</v>
      </c>
      <c r="D11" s="5">
        <v>28732276</v>
      </c>
      <c r="E11" s="4">
        <v>1</v>
      </c>
      <c r="F11" s="14">
        <v>1</v>
      </c>
      <c r="G11" s="6">
        <f t="shared" si="0"/>
        <v>0</v>
      </c>
      <c r="H11" s="7">
        <v>46083</v>
      </c>
      <c r="I11" s="8" t="s">
        <v>13</v>
      </c>
      <c r="J11" s="9">
        <v>46114</v>
      </c>
      <c r="K11" s="4" t="s">
        <v>116</v>
      </c>
      <c r="L11" s="11"/>
    </row>
    <row r="12" spans="1:12" ht="52.5" x14ac:dyDescent="0.25">
      <c r="A12" s="4">
        <v>10</v>
      </c>
      <c r="B12" s="12" t="s">
        <v>16</v>
      </c>
      <c r="C12" s="11" t="s">
        <v>19</v>
      </c>
      <c r="D12" s="26" t="s">
        <v>248</v>
      </c>
      <c r="E12" s="4">
        <f>2+2</f>
        <v>4</v>
      </c>
      <c r="F12" s="14">
        <f>2+2</f>
        <v>4</v>
      </c>
      <c r="G12" s="6">
        <f t="shared" si="0"/>
        <v>0</v>
      </c>
      <c r="H12" s="7" t="s">
        <v>249</v>
      </c>
      <c r="I12" s="8" t="s">
        <v>13</v>
      </c>
      <c r="J12" s="24" t="s">
        <v>252</v>
      </c>
      <c r="K12" s="4" t="s">
        <v>116</v>
      </c>
      <c r="L12" s="11"/>
    </row>
    <row r="13" spans="1:12" ht="28.5" x14ac:dyDescent="0.25">
      <c r="A13" s="4">
        <v>11</v>
      </c>
      <c r="B13" s="12">
        <v>908020201</v>
      </c>
      <c r="C13" s="11" t="s">
        <v>12</v>
      </c>
      <c r="D13" s="5">
        <v>28732276</v>
      </c>
      <c r="E13" s="4">
        <v>1</v>
      </c>
      <c r="F13" s="14"/>
      <c r="G13" s="6">
        <f t="shared" si="0"/>
        <v>1</v>
      </c>
      <c r="H13" s="7">
        <v>46083</v>
      </c>
      <c r="I13" s="8" t="s">
        <v>13</v>
      </c>
      <c r="J13" s="9"/>
      <c r="K13" s="4"/>
      <c r="L13" s="11"/>
    </row>
    <row r="14" spans="1:12" ht="28.5" x14ac:dyDescent="0.25">
      <c r="A14" s="4">
        <v>12</v>
      </c>
      <c r="B14" s="12">
        <v>908421031</v>
      </c>
      <c r="C14" s="11" t="s">
        <v>111</v>
      </c>
      <c r="D14" s="5">
        <v>28916973</v>
      </c>
      <c r="E14" s="4">
        <v>2</v>
      </c>
      <c r="F14" s="14">
        <v>2</v>
      </c>
      <c r="G14" s="6">
        <f t="shared" si="0"/>
        <v>0</v>
      </c>
      <c r="H14" s="7">
        <v>46121</v>
      </c>
      <c r="I14" s="8" t="s">
        <v>13</v>
      </c>
      <c r="J14" s="9">
        <v>46125</v>
      </c>
      <c r="K14" s="4" t="s">
        <v>116</v>
      </c>
      <c r="L14" s="11"/>
    </row>
    <row r="15" spans="1:12" ht="28.5" x14ac:dyDescent="0.25">
      <c r="A15" s="4">
        <v>13</v>
      </c>
      <c r="B15" s="12">
        <v>908202189</v>
      </c>
      <c r="C15" s="11" t="s">
        <v>18</v>
      </c>
      <c r="D15" s="5">
        <v>28916973</v>
      </c>
      <c r="E15" s="4">
        <v>2</v>
      </c>
      <c r="F15" s="14">
        <v>3</v>
      </c>
      <c r="G15" s="6">
        <f t="shared" si="0"/>
        <v>-1</v>
      </c>
      <c r="H15" s="7">
        <v>46121</v>
      </c>
      <c r="I15" s="8" t="s">
        <v>13</v>
      </c>
      <c r="J15" s="9">
        <v>46125</v>
      </c>
      <c r="K15" s="4" t="s">
        <v>116</v>
      </c>
      <c r="L15" s="11"/>
    </row>
    <row r="16" spans="1:12" ht="28.5" x14ac:dyDescent="0.25">
      <c r="A16" s="4">
        <v>14</v>
      </c>
      <c r="B16" s="12">
        <v>908371003</v>
      </c>
      <c r="C16" s="11" t="s">
        <v>132</v>
      </c>
      <c r="D16" s="5">
        <v>28916973</v>
      </c>
      <c r="E16" s="4">
        <v>5</v>
      </c>
      <c r="F16" s="14">
        <v>5</v>
      </c>
      <c r="G16" s="6">
        <f t="shared" si="0"/>
        <v>0</v>
      </c>
      <c r="H16" s="7">
        <v>46121</v>
      </c>
      <c r="I16" s="8" t="s">
        <v>13</v>
      </c>
      <c r="J16" s="9">
        <v>46125</v>
      </c>
      <c r="K16" s="4" t="s">
        <v>116</v>
      </c>
      <c r="L16" s="11"/>
    </row>
    <row r="17" spans="1:12" ht="28.5" x14ac:dyDescent="0.25">
      <c r="A17" s="4">
        <v>15</v>
      </c>
      <c r="B17" s="12">
        <v>908020201</v>
      </c>
      <c r="C17" s="11" t="s">
        <v>12</v>
      </c>
      <c r="D17" s="5">
        <v>28916973</v>
      </c>
      <c r="E17" s="4">
        <v>3</v>
      </c>
      <c r="F17" s="14"/>
      <c r="G17" s="6">
        <f t="shared" si="0"/>
        <v>3</v>
      </c>
      <c r="H17" s="7">
        <v>46121</v>
      </c>
      <c r="I17" s="8" t="s">
        <v>13</v>
      </c>
      <c r="J17" s="9"/>
      <c r="K17" s="4"/>
      <c r="L17" s="11"/>
    </row>
    <row r="18" spans="1:12" ht="28.5" x14ac:dyDescent="0.25">
      <c r="A18" s="4">
        <v>16</v>
      </c>
      <c r="B18" s="12">
        <v>908371013</v>
      </c>
      <c r="C18" s="11" t="s">
        <v>110</v>
      </c>
      <c r="D18" s="5">
        <v>28916973</v>
      </c>
      <c r="E18" s="4">
        <v>5</v>
      </c>
      <c r="F18" s="14">
        <v>5</v>
      </c>
      <c r="G18" s="6">
        <f t="shared" si="0"/>
        <v>0</v>
      </c>
      <c r="H18" s="7">
        <v>46121</v>
      </c>
      <c r="I18" s="8" t="s">
        <v>13</v>
      </c>
      <c r="J18" s="9">
        <v>46125</v>
      </c>
      <c r="K18" s="4" t="s">
        <v>116</v>
      </c>
      <c r="L18" s="11"/>
    </row>
    <row r="19" spans="1:12" ht="28.5" x14ac:dyDescent="0.25">
      <c r="A19" s="4">
        <v>17</v>
      </c>
      <c r="B19" s="12">
        <v>908421025</v>
      </c>
      <c r="C19" s="11" t="s">
        <v>59</v>
      </c>
      <c r="D19" s="5">
        <v>28916973</v>
      </c>
      <c r="E19" s="4">
        <v>1</v>
      </c>
      <c r="F19" s="14">
        <v>1</v>
      </c>
      <c r="G19" s="6">
        <f t="shared" si="0"/>
        <v>0</v>
      </c>
      <c r="H19" s="7">
        <v>46121</v>
      </c>
      <c r="I19" s="8" t="s">
        <v>13</v>
      </c>
      <c r="J19" s="9">
        <v>46125</v>
      </c>
      <c r="K19" s="4" t="s">
        <v>116</v>
      </c>
      <c r="L19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B225-8A6C-4521-8A80-DE5962C2491D}">
  <sheetPr>
    <pageSetUpPr fitToPage="1"/>
  </sheetPr>
  <dimension ref="A1:L4"/>
  <sheetViews>
    <sheetView zoomScale="78" zoomScaleNormal="78" workbookViewId="0">
      <selection activeCell="F11" sqref="F1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244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50</v>
      </c>
      <c r="C3" s="11" t="s">
        <v>51</v>
      </c>
      <c r="D3" s="5"/>
      <c r="E3" s="4"/>
      <c r="F3" s="14">
        <v>70</v>
      </c>
      <c r="G3" s="6">
        <f>E3-F3</f>
        <v>-70</v>
      </c>
      <c r="H3" s="7"/>
      <c r="I3" s="8"/>
      <c r="J3" s="9">
        <v>46112</v>
      </c>
      <c r="K3" s="4" t="s">
        <v>116</v>
      </c>
      <c r="L3" s="11"/>
    </row>
    <row r="4" spans="1:12" ht="28.5" x14ac:dyDescent="0.25">
      <c r="A4" s="4">
        <v>2</v>
      </c>
      <c r="B4" s="12">
        <v>908121008</v>
      </c>
      <c r="C4" s="11" t="s">
        <v>14</v>
      </c>
      <c r="D4" s="5"/>
      <c r="E4" s="4"/>
      <c r="F4" s="14">
        <v>2</v>
      </c>
      <c r="G4" s="6">
        <f>E4-F4</f>
        <v>-2</v>
      </c>
      <c r="H4" s="7"/>
      <c r="I4" s="8"/>
      <c r="J4" s="9">
        <v>46119</v>
      </c>
      <c r="K4" s="4" t="s">
        <v>116</v>
      </c>
      <c r="L4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D808-3DAC-45F3-81E6-FD13661061AC}">
  <sheetPr>
    <pageSetUpPr fitToPage="1"/>
  </sheetPr>
  <dimension ref="A1:L11"/>
  <sheetViews>
    <sheetView zoomScale="78" zoomScaleNormal="78" workbookViewId="0">
      <selection activeCell="D25" sqref="D25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28825227</v>
      </c>
      <c r="E3" s="4">
        <v>3</v>
      </c>
      <c r="F3" s="14">
        <v>3</v>
      </c>
      <c r="G3" s="6">
        <f>E3-F3</f>
        <v>0</v>
      </c>
      <c r="H3" s="7">
        <v>46110</v>
      </c>
      <c r="I3" s="8" t="s">
        <v>13</v>
      </c>
      <c r="J3" s="9">
        <v>46111</v>
      </c>
      <c r="K3" s="4" t="s">
        <v>116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28825227</v>
      </c>
      <c r="E4" s="4">
        <v>1</v>
      </c>
      <c r="F4" s="14"/>
      <c r="G4" s="6">
        <f t="shared" ref="G4:G11" si="0">E4-F4</f>
        <v>1</v>
      </c>
      <c r="H4" s="7">
        <v>46110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28825227</v>
      </c>
      <c r="E5" s="4">
        <v>2</v>
      </c>
      <c r="F5" s="14">
        <v>2</v>
      </c>
      <c r="G5" s="6">
        <f t="shared" si="0"/>
        <v>0</v>
      </c>
      <c r="H5" s="7">
        <v>46110</v>
      </c>
      <c r="I5" s="8" t="s">
        <v>13</v>
      </c>
      <c r="J5" s="9">
        <v>46111</v>
      </c>
      <c r="K5" s="4" t="s">
        <v>116</v>
      </c>
      <c r="L5" s="11"/>
    </row>
    <row r="6" spans="1:12" ht="28.5" x14ac:dyDescent="0.25">
      <c r="A6" s="4">
        <v>5</v>
      </c>
      <c r="B6" s="12">
        <v>908111101</v>
      </c>
      <c r="C6" s="11" t="s">
        <v>47</v>
      </c>
      <c r="D6" s="5">
        <v>28825227</v>
      </c>
      <c r="E6" s="4">
        <v>4</v>
      </c>
      <c r="F6" s="14">
        <v>4</v>
      </c>
      <c r="G6" s="6">
        <f t="shared" si="0"/>
        <v>0</v>
      </c>
      <c r="H6" s="7">
        <v>46110</v>
      </c>
      <c r="I6" s="8" t="s">
        <v>13</v>
      </c>
      <c r="J6" s="9">
        <v>46111</v>
      </c>
      <c r="K6" s="4" t="s">
        <v>116</v>
      </c>
      <c r="L6" s="11"/>
    </row>
    <row r="7" spans="1:12" ht="28.5" x14ac:dyDescent="0.25">
      <c r="A7" s="4">
        <v>6</v>
      </c>
      <c r="B7" s="12">
        <v>908421031</v>
      </c>
      <c r="C7" s="11" t="s">
        <v>111</v>
      </c>
      <c r="D7" s="5">
        <v>28825227</v>
      </c>
      <c r="E7" s="4">
        <v>1</v>
      </c>
      <c r="F7" s="14">
        <v>1</v>
      </c>
      <c r="G7" s="6">
        <f t="shared" si="0"/>
        <v>0</v>
      </c>
      <c r="H7" s="7">
        <v>46110</v>
      </c>
      <c r="I7" s="8" t="s">
        <v>13</v>
      </c>
      <c r="J7" s="9">
        <v>46111</v>
      </c>
      <c r="K7" s="4" t="s">
        <v>116</v>
      </c>
      <c r="L7" s="11"/>
    </row>
    <row r="8" spans="1:12" ht="28.5" x14ac:dyDescent="0.25">
      <c r="A8" s="4">
        <v>7</v>
      </c>
      <c r="B8" s="12">
        <v>908202189</v>
      </c>
      <c r="C8" s="11" t="s">
        <v>18</v>
      </c>
      <c r="D8" s="5">
        <v>28825227</v>
      </c>
      <c r="E8" s="4">
        <v>2</v>
      </c>
      <c r="F8" s="14">
        <v>2</v>
      </c>
      <c r="G8" s="6">
        <f t="shared" si="0"/>
        <v>0</v>
      </c>
      <c r="H8" s="7">
        <v>46110</v>
      </c>
      <c r="I8" s="8" t="s">
        <v>13</v>
      </c>
      <c r="J8" s="9">
        <v>46111</v>
      </c>
      <c r="K8" s="4" t="s">
        <v>116</v>
      </c>
      <c r="L8" s="11"/>
    </row>
    <row r="9" spans="1:12" ht="28.5" x14ac:dyDescent="0.25">
      <c r="A9" s="4">
        <v>8</v>
      </c>
      <c r="B9" s="12">
        <v>908371003</v>
      </c>
      <c r="C9" s="11" t="s">
        <v>132</v>
      </c>
      <c r="D9" s="5">
        <v>28825227</v>
      </c>
      <c r="E9" s="4">
        <v>3</v>
      </c>
      <c r="F9" s="14">
        <v>3</v>
      </c>
      <c r="G9" s="6">
        <f t="shared" si="0"/>
        <v>0</v>
      </c>
      <c r="H9" s="7">
        <v>46110</v>
      </c>
      <c r="I9" s="8" t="s">
        <v>13</v>
      </c>
      <c r="J9" s="9">
        <v>46111</v>
      </c>
      <c r="K9" s="4" t="s">
        <v>116</v>
      </c>
      <c r="L9" s="11"/>
    </row>
    <row r="10" spans="1:12" ht="28.5" x14ac:dyDescent="0.25">
      <c r="A10" s="4">
        <v>9</v>
      </c>
      <c r="B10" s="12">
        <v>908020201</v>
      </c>
      <c r="C10" s="11" t="s">
        <v>12</v>
      </c>
      <c r="D10" s="5">
        <v>28825227</v>
      </c>
      <c r="E10" s="4">
        <v>2</v>
      </c>
      <c r="F10" s="14"/>
      <c r="G10" s="6">
        <f t="shared" si="0"/>
        <v>2</v>
      </c>
      <c r="H10" s="7">
        <v>46110</v>
      </c>
      <c r="I10" s="8" t="s">
        <v>13</v>
      </c>
      <c r="J10" s="9"/>
      <c r="K10" s="4"/>
      <c r="L10" s="11"/>
    </row>
    <row r="11" spans="1:12" ht="28.5" x14ac:dyDescent="0.25">
      <c r="A11" s="4"/>
      <c r="B11" s="12">
        <v>908421025</v>
      </c>
      <c r="C11" s="11" t="s">
        <v>59</v>
      </c>
      <c r="D11" s="5">
        <v>28825227</v>
      </c>
      <c r="E11" s="4">
        <v>1</v>
      </c>
      <c r="F11" s="14">
        <v>1</v>
      </c>
      <c r="G11" s="6">
        <f t="shared" si="0"/>
        <v>0</v>
      </c>
      <c r="H11" s="7">
        <v>46110</v>
      </c>
      <c r="I11" s="8"/>
      <c r="J11" s="9">
        <v>46111</v>
      </c>
      <c r="K11" s="4" t="s">
        <v>116</v>
      </c>
      <c r="L11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99B3-3783-46E7-B182-338B8BF540BF}">
  <sheetPr>
    <pageSetUpPr fitToPage="1"/>
  </sheetPr>
  <dimension ref="A1:L11"/>
  <sheetViews>
    <sheetView zoomScale="78" zoomScaleNormal="78" workbookViewId="0">
      <selection activeCell="I19" sqref="I19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232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50</v>
      </c>
      <c r="C3" s="11" t="s">
        <v>51</v>
      </c>
      <c r="D3" s="5"/>
      <c r="E3" s="4"/>
      <c r="F3" s="14">
        <v>16</v>
      </c>
      <c r="G3" s="6">
        <f>E3-F3</f>
        <v>-16</v>
      </c>
      <c r="H3" s="7"/>
      <c r="I3" s="8"/>
      <c r="J3" s="9">
        <v>46110</v>
      </c>
      <c r="K3" s="4" t="s">
        <v>116</v>
      </c>
      <c r="L3" s="11"/>
    </row>
    <row r="4" spans="1:12" ht="28.5" x14ac:dyDescent="0.25">
      <c r="A4" s="4">
        <v>2</v>
      </c>
      <c r="B4" s="12">
        <v>908121008</v>
      </c>
      <c r="C4" s="11" t="s">
        <v>14</v>
      </c>
      <c r="D4" s="5"/>
      <c r="E4" s="4"/>
      <c r="F4" s="14">
        <v>1</v>
      </c>
      <c r="G4" s="6">
        <f>E4-F4</f>
        <v>-1</v>
      </c>
      <c r="H4" s="7"/>
      <c r="I4" s="8"/>
      <c r="J4" s="9">
        <v>46117</v>
      </c>
      <c r="K4" s="4" t="s">
        <v>116</v>
      </c>
      <c r="L4" s="11"/>
    </row>
    <row r="5" spans="1:12" ht="28.5" x14ac:dyDescent="0.25">
      <c r="A5" s="4">
        <v>3</v>
      </c>
      <c r="B5" s="12">
        <v>908402208</v>
      </c>
      <c r="C5" s="11" t="s">
        <v>58</v>
      </c>
      <c r="D5" s="5">
        <v>28874179</v>
      </c>
      <c r="E5" s="4">
        <v>1</v>
      </c>
      <c r="F5" s="14">
        <v>1</v>
      </c>
      <c r="G5" s="6">
        <f t="shared" ref="G5:G10" si="0">E5-F5</f>
        <v>0</v>
      </c>
      <c r="H5" s="7">
        <v>46117</v>
      </c>
      <c r="I5" s="8" t="s">
        <v>177</v>
      </c>
      <c r="J5" s="9">
        <v>46118</v>
      </c>
      <c r="K5" s="4" t="s">
        <v>116</v>
      </c>
    </row>
    <row r="6" spans="1:12" ht="28.5" x14ac:dyDescent="0.25">
      <c r="A6" s="4">
        <v>4</v>
      </c>
      <c r="B6" s="12" t="s">
        <v>16</v>
      </c>
      <c r="C6" s="11" t="s">
        <v>19</v>
      </c>
      <c r="D6" s="5">
        <v>28874179</v>
      </c>
      <c r="E6" s="4">
        <v>1</v>
      </c>
      <c r="F6" s="14">
        <v>1</v>
      </c>
      <c r="G6" s="6">
        <f t="shared" si="0"/>
        <v>0</v>
      </c>
      <c r="H6" s="7">
        <v>46117</v>
      </c>
      <c r="I6" s="8" t="s">
        <v>177</v>
      </c>
      <c r="J6" s="9">
        <v>46118</v>
      </c>
      <c r="K6" s="4" t="s">
        <v>116</v>
      </c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28874179</v>
      </c>
      <c r="E7" s="4">
        <v>2</v>
      </c>
      <c r="F7" s="14">
        <v>2</v>
      </c>
      <c r="G7" s="6">
        <f t="shared" si="0"/>
        <v>0</v>
      </c>
      <c r="H7" s="7">
        <v>46117</v>
      </c>
      <c r="I7" s="8" t="s">
        <v>177</v>
      </c>
      <c r="J7" s="9">
        <v>46118</v>
      </c>
      <c r="K7" s="4" t="s">
        <v>116</v>
      </c>
    </row>
    <row r="8" spans="1:12" ht="28.5" x14ac:dyDescent="0.25">
      <c r="A8" s="4">
        <v>6</v>
      </c>
      <c r="B8" s="12">
        <v>908202189</v>
      </c>
      <c r="C8" s="11" t="s">
        <v>18</v>
      </c>
      <c r="D8" s="5">
        <v>28874179</v>
      </c>
      <c r="E8" s="4">
        <v>1</v>
      </c>
      <c r="F8" s="14">
        <v>1</v>
      </c>
      <c r="G8" s="6">
        <f t="shared" si="0"/>
        <v>0</v>
      </c>
      <c r="H8" s="7">
        <v>46117</v>
      </c>
      <c r="I8" s="8" t="s">
        <v>177</v>
      </c>
      <c r="J8" s="9">
        <v>46118</v>
      </c>
      <c r="K8" s="4" t="s">
        <v>116</v>
      </c>
    </row>
    <row r="9" spans="1:12" ht="28.5" x14ac:dyDescent="0.25">
      <c r="A9" s="4">
        <v>7</v>
      </c>
      <c r="B9" s="12">
        <v>908020201</v>
      </c>
      <c r="C9" s="11" t="s">
        <v>12</v>
      </c>
      <c r="D9" s="5">
        <v>28874179</v>
      </c>
      <c r="E9" s="4">
        <v>1</v>
      </c>
      <c r="F9" s="14"/>
      <c r="G9" s="6">
        <f t="shared" si="0"/>
        <v>1</v>
      </c>
      <c r="H9" s="7">
        <v>46117</v>
      </c>
      <c r="I9" s="8" t="s">
        <v>177</v>
      </c>
      <c r="J9" s="9"/>
      <c r="K9" s="4"/>
    </row>
    <row r="10" spans="1:12" ht="28.5" x14ac:dyDescent="0.25">
      <c r="A10" s="4">
        <v>8</v>
      </c>
      <c r="B10" s="12">
        <v>908421025</v>
      </c>
      <c r="C10" s="11" t="s">
        <v>59</v>
      </c>
      <c r="D10" s="5">
        <v>28874179</v>
      </c>
      <c r="E10" s="4">
        <v>1</v>
      </c>
      <c r="F10" s="14">
        <v>1</v>
      </c>
      <c r="G10" s="6">
        <f t="shared" si="0"/>
        <v>0</v>
      </c>
      <c r="H10" s="7">
        <v>46117</v>
      </c>
      <c r="I10" s="8" t="s">
        <v>177</v>
      </c>
      <c r="J10" s="9">
        <v>46118</v>
      </c>
      <c r="K10" s="4" t="s">
        <v>116</v>
      </c>
    </row>
    <row r="11" spans="1:12" ht="28.5" x14ac:dyDescent="0.25">
      <c r="A11" s="4"/>
      <c r="B11" s="12"/>
      <c r="C11" s="11"/>
      <c r="D11" s="5"/>
      <c r="E11" s="4"/>
      <c r="F11" s="14"/>
      <c r="G11" s="6"/>
      <c r="H11" s="7"/>
      <c r="I11" s="8"/>
      <c r="J11" s="9"/>
      <c r="K11" s="4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046B-065D-4609-9397-7949F92AA0D5}">
  <sheetPr>
    <pageSetUpPr fitToPage="1"/>
  </sheetPr>
  <dimension ref="A1:L11"/>
  <sheetViews>
    <sheetView zoomScale="78" zoomScaleNormal="78" workbookViewId="0">
      <selection activeCell="C28" sqref="C2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231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50</v>
      </c>
      <c r="C3" s="11" t="s">
        <v>51</v>
      </c>
      <c r="D3" s="5"/>
      <c r="E3" s="4"/>
      <c r="F3" s="14">
        <v>18</v>
      </c>
      <c r="G3" s="6">
        <f>E3-F3</f>
        <v>-18</v>
      </c>
      <c r="H3" s="7"/>
      <c r="I3" s="8"/>
      <c r="J3" s="9">
        <v>46110</v>
      </c>
      <c r="K3" s="4" t="s">
        <v>116</v>
      </c>
      <c r="L3" s="11"/>
    </row>
    <row r="4" spans="1:12" ht="28.5" x14ac:dyDescent="0.25">
      <c r="A4" s="4">
        <v>2</v>
      </c>
      <c r="B4" s="12">
        <v>908121008</v>
      </c>
      <c r="C4" s="11" t="s">
        <v>14</v>
      </c>
      <c r="D4" s="5"/>
      <c r="E4" s="4"/>
      <c r="F4" s="14">
        <v>1</v>
      </c>
      <c r="G4" s="6">
        <f>E4-F4</f>
        <v>-1</v>
      </c>
      <c r="H4" s="7"/>
      <c r="I4" s="8"/>
      <c r="J4" s="9">
        <v>46117</v>
      </c>
      <c r="K4" s="4" t="s">
        <v>116</v>
      </c>
      <c r="L4" s="11"/>
    </row>
    <row r="5" spans="1:12" ht="28.5" x14ac:dyDescent="0.25">
      <c r="A5" s="4">
        <v>3</v>
      </c>
      <c r="B5" s="12">
        <v>908402208</v>
      </c>
      <c r="C5" s="11" t="s">
        <v>58</v>
      </c>
      <c r="D5" s="5">
        <v>263014264</v>
      </c>
      <c r="E5" s="4">
        <v>1</v>
      </c>
      <c r="F5" s="14">
        <v>1</v>
      </c>
      <c r="G5" s="6">
        <f t="shared" ref="G5:G10" si="0">E5-F5</f>
        <v>0</v>
      </c>
      <c r="H5" s="7">
        <v>46117</v>
      </c>
      <c r="I5" s="8" t="s">
        <v>177</v>
      </c>
      <c r="J5" s="9">
        <v>46118</v>
      </c>
      <c r="K5" s="4" t="s">
        <v>116</v>
      </c>
      <c r="L5" s="11"/>
    </row>
    <row r="6" spans="1:12" ht="28.5" x14ac:dyDescent="0.25">
      <c r="A6" s="4">
        <v>4</v>
      </c>
      <c r="B6" s="12" t="s">
        <v>16</v>
      </c>
      <c r="C6" s="11" t="s">
        <v>19</v>
      </c>
      <c r="D6" s="5">
        <v>263014264</v>
      </c>
      <c r="E6" s="4">
        <v>1</v>
      </c>
      <c r="F6" s="14">
        <v>1</v>
      </c>
      <c r="G6" s="6">
        <f t="shared" si="0"/>
        <v>0</v>
      </c>
      <c r="H6" s="7">
        <v>46117</v>
      </c>
      <c r="I6" s="8" t="s">
        <v>177</v>
      </c>
      <c r="J6" s="9">
        <v>46118</v>
      </c>
      <c r="K6" s="4" t="s">
        <v>116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263014264</v>
      </c>
      <c r="E7" s="4">
        <v>2</v>
      </c>
      <c r="F7" s="14">
        <v>2</v>
      </c>
      <c r="G7" s="6">
        <f t="shared" si="0"/>
        <v>0</v>
      </c>
      <c r="H7" s="7">
        <v>46117</v>
      </c>
      <c r="I7" s="8" t="s">
        <v>177</v>
      </c>
      <c r="J7" s="9">
        <v>46118</v>
      </c>
      <c r="K7" s="4" t="s">
        <v>116</v>
      </c>
      <c r="L7" s="11"/>
    </row>
    <row r="8" spans="1:12" ht="28.5" x14ac:dyDescent="0.25">
      <c r="A8" s="4">
        <v>6</v>
      </c>
      <c r="B8" s="12">
        <v>908202189</v>
      </c>
      <c r="C8" s="11" t="s">
        <v>18</v>
      </c>
      <c r="D8" s="5">
        <v>263014264</v>
      </c>
      <c r="E8" s="4">
        <v>1</v>
      </c>
      <c r="F8" s="14">
        <v>1</v>
      </c>
      <c r="G8" s="6">
        <f t="shared" si="0"/>
        <v>0</v>
      </c>
      <c r="H8" s="7">
        <v>46117</v>
      </c>
      <c r="I8" s="8" t="s">
        <v>177</v>
      </c>
      <c r="J8" s="9">
        <v>46118</v>
      </c>
      <c r="K8" s="4" t="s">
        <v>116</v>
      </c>
      <c r="L8" s="11"/>
    </row>
    <row r="9" spans="1:12" ht="28.5" x14ac:dyDescent="0.25">
      <c r="A9" s="4">
        <v>7</v>
      </c>
      <c r="B9" s="12">
        <v>908020201</v>
      </c>
      <c r="C9" s="11" t="s">
        <v>12</v>
      </c>
      <c r="D9" s="5">
        <v>263014264</v>
      </c>
      <c r="E9" s="4">
        <v>1</v>
      </c>
      <c r="F9" s="14"/>
      <c r="G9" s="6">
        <f t="shared" si="0"/>
        <v>1</v>
      </c>
      <c r="H9" s="7">
        <v>46117</v>
      </c>
      <c r="I9" s="8" t="s">
        <v>177</v>
      </c>
      <c r="J9" s="9"/>
      <c r="K9" s="4"/>
      <c r="L9" s="11"/>
    </row>
    <row r="10" spans="1:12" ht="28.5" x14ac:dyDescent="0.25">
      <c r="A10" s="4">
        <v>8</v>
      </c>
      <c r="B10" s="12">
        <v>908421025</v>
      </c>
      <c r="C10" s="11" t="s">
        <v>59</v>
      </c>
      <c r="D10" s="5">
        <v>263014264</v>
      </c>
      <c r="E10" s="4">
        <v>1</v>
      </c>
      <c r="F10" s="14">
        <v>1</v>
      </c>
      <c r="G10" s="6">
        <f t="shared" si="0"/>
        <v>0</v>
      </c>
      <c r="H10" s="7">
        <v>46117</v>
      </c>
      <c r="I10" s="8" t="s">
        <v>177</v>
      </c>
      <c r="J10" s="9">
        <v>46118</v>
      </c>
      <c r="K10" s="4" t="s">
        <v>116</v>
      </c>
      <c r="L10" s="11"/>
    </row>
    <row r="11" spans="1:12" ht="28.5" x14ac:dyDescent="0.25">
      <c r="A11" s="4"/>
      <c r="B11" s="12"/>
      <c r="C11" s="11"/>
      <c r="D11" s="5"/>
      <c r="E11" s="4"/>
      <c r="F11" s="14"/>
      <c r="G11" s="6"/>
      <c r="H11" s="7"/>
      <c r="I11" s="8"/>
      <c r="J11" s="9"/>
      <c r="K11" s="4"/>
      <c r="L11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52C0-E7F0-44E6-BD35-1D55FA2CADA9}">
  <sheetPr>
    <pageSetUpPr fitToPage="1"/>
  </sheetPr>
  <dimension ref="A1:L4"/>
  <sheetViews>
    <sheetView zoomScale="78" zoomScaleNormal="78" workbookViewId="0">
      <selection activeCell="F4" sqref="F4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230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52</v>
      </c>
      <c r="C3" s="11" t="s">
        <v>53</v>
      </c>
      <c r="D3" s="5"/>
      <c r="E3" s="4"/>
      <c r="F3" s="14">
        <v>26</v>
      </c>
      <c r="G3" s="6">
        <f>E3-F3</f>
        <v>-26</v>
      </c>
      <c r="H3" s="7"/>
      <c r="I3" s="8"/>
      <c r="J3" s="9">
        <v>46110</v>
      </c>
      <c r="K3" s="4" t="s">
        <v>116</v>
      </c>
      <c r="L3" s="11"/>
    </row>
    <row r="4" spans="1:12" ht="28.5" x14ac:dyDescent="0.25">
      <c r="A4" s="4">
        <v>2</v>
      </c>
      <c r="B4" s="12" t="s">
        <v>50</v>
      </c>
      <c r="C4" s="11" t="s">
        <v>51</v>
      </c>
      <c r="D4" s="5"/>
      <c r="E4" s="4"/>
      <c r="F4" s="14">
        <v>34</v>
      </c>
      <c r="G4" s="6">
        <f>E4-F4</f>
        <v>-34</v>
      </c>
      <c r="H4" s="7"/>
      <c r="I4" s="8"/>
      <c r="J4" s="9">
        <v>46110</v>
      </c>
      <c r="K4" s="4" t="s">
        <v>116</v>
      </c>
      <c r="L4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A5B4-AEC3-4DA1-A41A-34278604E709}">
  <dimension ref="A1:L4"/>
  <sheetViews>
    <sheetView zoomScale="78" zoomScaleNormal="78" workbookViewId="0">
      <selection activeCell="F30" sqref="F30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226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/>
      <c r="E3" s="4"/>
      <c r="F3" s="14">
        <v>13</v>
      </c>
      <c r="G3" s="6">
        <f>E3-F3</f>
        <v>-13</v>
      </c>
      <c r="H3" s="7"/>
      <c r="I3" s="8"/>
      <c r="J3" s="9">
        <v>46096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/>
      <c r="E4" s="4">
        <v>1</v>
      </c>
      <c r="F4" s="14">
        <v>1</v>
      </c>
      <c r="G4" s="6">
        <f>E4-F4</f>
        <v>0</v>
      </c>
      <c r="H4" s="7">
        <v>46110</v>
      </c>
      <c r="I4" s="8" t="s">
        <v>13</v>
      </c>
      <c r="J4" s="9">
        <v>46107</v>
      </c>
      <c r="K4" s="4" t="s">
        <v>116</v>
      </c>
      <c r="L4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4F12-25CA-4179-9DEB-D43DB8D548DC}">
  <sheetPr>
    <pageSetUpPr fitToPage="1"/>
  </sheetPr>
  <dimension ref="A1:L14"/>
  <sheetViews>
    <sheetView zoomScale="78" zoomScaleNormal="78" workbookViewId="0">
      <selection activeCell="G19" sqref="G19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224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52</v>
      </c>
      <c r="C3" s="11" t="s">
        <v>53</v>
      </c>
      <c r="D3" s="5"/>
      <c r="E3" s="4"/>
      <c r="F3" s="14">
        <v>68</v>
      </c>
      <c r="G3" s="6">
        <f>E3-F3</f>
        <v>-68</v>
      </c>
      <c r="H3" s="7"/>
      <c r="I3" s="8"/>
      <c r="J3" s="9">
        <v>46099</v>
      </c>
      <c r="K3" s="4" t="s">
        <v>116</v>
      </c>
      <c r="L3" s="11"/>
    </row>
    <row r="4" spans="1:12" ht="28.5" x14ac:dyDescent="0.25">
      <c r="A4" s="4">
        <v>2</v>
      </c>
      <c r="B4" s="12" t="s">
        <v>50</v>
      </c>
      <c r="C4" s="11" t="s">
        <v>51</v>
      </c>
      <c r="D4" s="5"/>
      <c r="E4" s="4"/>
      <c r="F4" s="14">
        <v>33</v>
      </c>
      <c r="G4" s="6">
        <f t="shared" ref="G4:G13" si="0">E4-F4</f>
        <v>-33</v>
      </c>
      <c r="H4" s="7"/>
      <c r="I4" s="8"/>
      <c r="J4" s="9">
        <v>46099</v>
      </c>
      <c r="K4" s="4" t="s">
        <v>116</v>
      </c>
      <c r="L4" s="11"/>
    </row>
    <row r="5" spans="1:12" ht="28.5" x14ac:dyDescent="0.25">
      <c r="A5" s="4">
        <v>3</v>
      </c>
      <c r="B5" s="10">
        <v>908121008</v>
      </c>
      <c r="C5" s="11" t="s">
        <v>14</v>
      </c>
      <c r="D5" s="5"/>
      <c r="E5" s="4">
        <v>2</v>
      </c>
      <c r="F5" s="14">
        <v>1</v>
      </c>
      <c r="G5" s="6">
        <f t="shared" si="0"/>
        <v>1</v>
      </c>
      <c r="H5" s="7">
        <v>46091</v>
      </c>
      <c r="I5" s="8" t="s">
        <v>13</v>
      </c>
      <c r="J5" s="9">
        <v>46099</v>
      </c>
      <c r="K5" s="4" t="s">
        <v>116</v>
      </c>
      <c r="L5" s="11"/>
    </row>
    <row r="6" spans="1:12" ht="52.5" x14ac:dyDescent="0.25">
      <c r="A6" s="4">
        <v>4</v>
      </c>
      <c r="B6" s="10">
        <v>908121010</v>
      </c>
      <c r="C6" s="11" t="s">
        <v>22</v>
      </c>
      <c r="D6" s="5"/>
      <c r="E6" s="4">
        <v>2</v>
      </c>
      <c r="F6" s="14">
        <f>1+1</f>
        <v>2</v>
      </c>
      <c r="G6" s="6">
        <f t="shared" si="0"/>
        <v>0</v>
      </c>
      <c r="H6" s="7">
        <v>46091</v>
      </c>
      <c r="I6" s="8" t="s">
        <v>13</v>
      </c>
      <c r="J6" s="24" t="s">
        <v>239</v>
      </c>
      <c r="K6" s="4" t="s">
        <v>116</v>
      </c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/>
      <c r="E7" s="4">
        <v>3</v>
      </c>
      <c r="F7" s="14">
        <v>3</v>
      </c>
      <c r="G7" s="6">
        <f t="shared" si="0"/>
        <v>0</v>
      </c>
      <c r="H7" s="7">
        <v>46091</v>
      </c>
      <c r="I7" s="8" t="s">
        <v>13</v>
      </c>
      <c r="J7" s="9">
        <v>46116</v>
      </c>
      <c r="K7" s="4"/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/>
      <c r="E8" s="4">
        <v>2</v>
      </c>
      <c r="F8" s="14">
        <v>2</v>
      </c>
      <c r="G8" s="6">
        <f t="shared" si="0"/>
        <v>0</v>
      </c>
      <c r="H8" s="7">
        <v>46091</v>
      </c>
      <c r="I8" s="8" t="s">
        <v>13</v>
      </c>
      <c r="J8" s="9">
        <v>46099</v>
      </c>
      <c r="K8" s="4" t="s">
        <v>116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/>
      <c r="E9" s="4">
        <v>6</v>
      </c>
      <c r="F9" s="14">
        <v>6</v>
      </c>
      <c r="G9" s="6">
        <f t="shared" si="0"/>
        <v>0</v>
      </c>
      <c r="H9" s="7">
        <v>46091</v>
      </c>
      <c r="I9" s="8" t="s">
        <v>13</v>
      </c>
      <c r="J9" s="9">
        <v>46099</v>
      </c>
      <c r="K9" s="4" t="s">
        <v>116</v>
      </c>
      <c r="L9" s="11"/>
    </row>
    <row r="10" spans="1:12" ht="28.5" x14ac:dyDescent="0.25">
      <c r="A10" s="4">
        <v>8</v>
      </c>
      <c r="B10" s="10">
        <v>908202030</v>
      </c>
      <c r="C10" s="11" t="s">
        <v>15</v>
      </c>
      <c r="D10" s="5"/>
      <c r="E10" s="4">
        <v>2</v>
      </c>
      <c r="F10" s="14">
        <v>2</v>
      </c>
      <c r="G10" s="6">
        <f t="shared" si="0"/>
        <v>0</v>
      </c>
      <c r="H10" s="7">
        <v>46091</v>
      </c>
      <c r="I10" s="8" t="s">
        <v>13</v>
      </c>
      <c r="J10" s="9">
        <v>46099</v>
      </c>
      <c r="K10" s="4" t="s">
        <v>116</v>
      </c>
      <c r="L10" s="11"/>
    </row>
    <row r="11" spans="1:12" ht="28.5" x14ac:dyDescent="0.25">
      <c r="A11" s="4">
        <v>9</v>
      </c>
      <c r="B11" s="10">
        <v>908312027</v>
      </c>
      <c r="C11" s="11" t="s">
        <v>33</v>
      </c>
      <c r="D11" s="5"/>
      <c r="E11" s="4">
        <v>1</v>
      </c>
      <c r="F11" s="14">
        <v>1</v>
      </c>
      <c r="G11" s="6">
        <f t="shared" si="0"/>
        <v>0</v>
      </c>
      <c r="H11" s="7">
        <v>46091</v>
      </c>
      <c r="I11" s="8" t="s">
        <v>13</v>
      </c>
      <c r="J11" s="9">
        <v>46099</v>
      </c>
      <c r="K11" s="4" t="s">
        <v>116</v>
      </c>
      <c r="L11" s="11"/>
    </row>
    <row r="12" spans="1:12" ht="28.5" x14ac:dyDescent="0.25">
      <c r="A12" s="4">
        <v>10</v>
      </c>
      <c r="B12" s="10" t="s">
        <v>16</v>
      </c>
      <c r="C12" s="11" t="s">
        <v>19</v>
      </c>
      <c r="D12" s="5"/>
      <c r="E12" s="4">
        <v>2</v>
      </c>
      <c r="F12" s="14">
        <v>2</v>
      </c>
      <c r="G12" s="6">
        <f t="shared" si="0"/>
        <v>0</v>
      </c>
      <c r="H12" s="7">
        <v>46091</v>
      </c>
      <c r="I12" s="8" t="s">
        <v>13</v>
      </c>
      <c r="J12" s="9">
        <v>46099</v>
      </c>
      <c r="K12" s="4" t="s">
        <v>116</v>
      </c>
      <c r="L12" s="11"/>
    </row>
    <row r="13" spans="1:12" ht="28.5" x14ac:dyDescent="0.25">
      <c r="A13" s="4">
        <v>11</v>
      </c>
      <c r="B13" s="10">
        <v>908020201</v>
      </c>
      <c r="C13" s="11" t="s">
        <v>12</v>
      </c>
      <c r="D13" s="5"/>
      <c r="E13" s="4">
        <v>1</v>
      </c>
      <c r="F13" s="14"/>
      <c r="G13" s="6">
        <f t="shared" si="0"/>
        <v>1</v>
      </c>
      <c r="H13" s="7">
        <v>46091</v>
      </c>
      <c r="I13" s="8" t="s">
        <v>13</v>
      </c>
      <c r="J13" s="9"/>
      <c r="K13" s="4"/>
      <c r="L13" s="11"/>
    </row>
    <row r="14" spans="1:12" ht="28.5" x14ac:dyDescent="0.25">
      <c r="A14" s="4"/>
      <c r="B14" s="10"/>
      <c r="C14" s="11"/>
      <c r="D14" s="5"/>
      <c r="E14" s="4"/>
      <c r="F14" s="14"/>
      <c r="G14" s="6"/>
      <c r="H14" s="7"/>
      <c r="I14" s="8"/>
      <c r="J14" s="9"/>
      <c r="K14" s="4"/>
      <c r="L14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E51E-05BE-45A2-929B-DA2A7C5ADDC6}">
  <sheetPr>
    <pageSetUpPr fitToPage="1"/>
  </sheetPr>
  <dimension ref="A1:L14"/>
  <sheetViews>
    <sheetView zoomScale="78" zoomScaleNormal="78" workbookViewId="0">
      <selection activeCell="B5" sqref="B5:C5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 t="s">
        <v>52</v>
      </c>
      <c r="C3" s="11" t="s">
        <v>53</v>
      </c>
      <c r="D3" s="5"/>
      <c r="E3" s="4"/>
      <c r="F3" s="14">
        <v>69</v>
      </c>
      <c r="G3" s="6">
        <f>E3-F3</f>
        <v>-69</v>
      </c>
      <c r="H3" s="7"/>
      <c r="I3" s="8"/>
      <c r="J3" s="9">
        <v>46098</v>
      </c>
      <c r="K3" s="4" t="s">
        <v>116</v>
      </c>
      <c r="L3" s="11"/>
    </row>
    <row r="4" spans="1:12" ht="28.5" x14ac:dyDescent="0.25">
      <c r="A4" s="4">
        <v>2</v>
      </c>
      <c r="B4" s="12" t="s">
        <v>50</v>
      </c>
      <c r="C4" s="11" t="s">
        <v>51</v>
      </c>
      <c r="D4" s="5"/>
      <c r="E4" s="4"/>
      <c r="F4" s="14">
        <v>29</v>
      </c>
      <c r="G4" s="6">
        <f t="shared" ref="G4:G14" si="0">E4-F4</f>
        <v>-29</v>
      </c>
      <c r="H4" s="7"/>
      <c r="I4" s="8"/>
      <c r="J4" s="9">
        <v>46098</v>
      </c>
      <c r="K4" s="4" t="s">
        <v>116</v>
      </c>
      <c r="L4" s="11"/>
    </row>
    <row r="5" spans="1:12" ht="28.5" x14ac:dyDescent="0.25">
      <c r="A5" s="4">
        <v>3</v>
      </c>
      <c r="B5" s="19">
        <v>908111006</v>
      </c>
      <c r="C5" s="11" t="s">
        <v>60</v>
      </c>
      <c r="D5" s="5"/>
      <c r="E5" s="4"/>
      <c r="F5" s="14">
        <v>26</v>
      </c>
      <c r="G5" s="6">
        <f t="shared" si="0"/>
        <v>-26</v>
      </c>
      <c r="H5" s="7"/>
      <c r="I5" s="8"/>
      <c r="J5" s="9">
        <v>46098</v>
      </c>
      <c r="K5" s="4" t="s">
        <v>116</v>
      </c>
      <c r="L5" s="11"/>
    </row>
    <row r="6" spans="1:12" ht="28.5" x14ac:dyDescent="0.25">
      <c r="A6" s="4">
        <v>4</v>
      </c>
      <c r="B6" s="10">
        <v>908121008</v>
      </c>
      <c r="C6" s="11" t="s">
        <v>14</v>
      </c>
      <c r="D6" s="5"/>
      <c r="E6" s="4">
        <v>2</v>
      </c>
      <c r="F6" s="14">
        <v>1</v>
      </c>
      <c r="G6" s="6">
        <f t="shared" si="0"/>
        <v>1</v>
      </c>
      <c r="H6" s="7">
        <v>46092</v>
      </c>
      <c r="I6" s="8" t="s">
        <v>177</v>
      </c>
      <c r="J6" s="9">
        <v>46099</v>
      </c>
      <c r="K6" s="4" t="s">
        <v>116</v>
      </c>
      <c r="L6" s="11"/>
    </row>
    <row r="7" spans="1:12" ht="52.5" x14ac:dyDescent="0.25">
      <c r="A7" s="4">
        <v>5</v>
      </c>
      <c r="B7" s="10">
        <v>908121010</v>
      </c>
      <c r="C7" s="11" t="s">
        <v>22</v>
      </c>
      <c r="D7" s="5"/>
      <c r="E7" s="4">
        <v>2</v>
      </c>
      <c r="F7" s="14">
        <f>1+1</f>
        <v>2</v>
      </c>
      <c r="G7" s="6">
        <f t="shared" si="0"/>
        <v>0</v>
      </c>
      <c r="H7" s="7">
        <v>46092</v>
      </c>
      <c r="I7" s="8" t="s">
        <v>177</v>
      </c>
      <c r="J7" s="24" t="s">
        <v>225</v>
      </c>
      <c r="K7" s="4" t="s">
        <v>116</v>
      </c>
      <c r="L7" s="11"/>
    </row>
    <row r="8" spans="1:12" ht="28.5" x14ac:dyDescent="0.25">
      <c r="A8" s="4">
        <v>6</v>
      </c>
      <c r="B8" s="10">
        <v>908122011</v>
      </c>
      <c r="C8" s="11" t="s">
        <v>55</v>
      </c>
      <c r="D8" s="5"/>
      <c r="E8" s="4">
        <v>3</v>
      </c>
      <c r="F8" s="14">
        <v>3</v>
      </c>
      <c r="G8" s="6">
        <f t="shared" si="0"/>
        <v>0</v>
      </c>
      <c r="H8" s="7">
        <v>46092</v>
      </c>
      <c r="I8" s="8" t="s">
        <v>177</v>
      </c>
      <c r="J8" s="9">
        <v>46105</v>
      </c>
      <c r="K8" s="4" t="s">
        <v>116</v>
      </c>
      <c r="L8" s="11"/>
    </row>
    <row r="9" spans="1:12" ht="28.5" x14ac:dyDescent="0.25">
      <c r="A9" s="4">
        <v>7</v>
      </c>
      <c r="B9" s="10">
        <v>908202098</v>
      </c>
      <c r="C9" s="11" t="s">
        <v>20</v>
      </c>
      <c r="D9" s="5"/>
      <c r="E9" s="4">
        <v>2</v>
      </c>
      <c r="F9" s="14">
        <v>2</v>
      </c>
      <c r="G9" s="6">
        <f t="shared" si="0"/>
        <v>0</v>
      </c>
      <c r="H9" s="7">
        <v>46092</v>
      </c>
      <c r="I9" s="8" t="s">
        <v>177</v>
      </c>
      <c r="J9" s="9">
        <v>46099</v>
      </c>
      <c r="K9" s="4" t="s">
        <v>116</v>
      </c>
      <c r="L9" s="11"/>
    </row>
    <row r="10" spans="1:12" ht="28.5" x14ac:dyDescent="0.25">
      <c r="A10" s="4">
        <v>8</v>
      </c>
      <c r="B10" s="10">
        <v>908111101</v>
      </c>
      <c r="C10" s="11" t="s">
        <v>47</v>
      </c>
      <c r="D10" s="5"/>
      <c r="E10" s="4">
        <v>6</v>
      </c>
      <c r="F10" s="14">
        <v>6</v>
      </c>
      <c r="G10" s="6">
        <f t="shared" si="0"/>
        <v>0</v>
      </c>
      <c r="H10" s="7">
        <v>46092</v>
      </c>
      <c r="I10" s="8" t="s">
        <v>177</v>
      </c>
      <c r="J10" s="9">
        <v>46099</v>
      </c>
      <c r="K10" s="4" t="s">
        <v>116</v>
      </c>
      <c r="L10" s="11"/>
    </row>
    <row r="11" spans="1:12" ht="28.5" x14ac:dyDescent="0.25">
      <c r="A11" s="4">
        <v>9</v>
      </c>
      <c r="B11" s="10">
        <v>908202030</v>
      </c>
      <c r="C11" s="11" t="s">
        <v>15</v>
      </c>
      <c r="D11" s="5"/>
      <c r="E11" s="4">
        <v>2</v>
      </c>
      <c r="F11" s="14">
        <v>2</v>
      </c>
      <c r="G11" s="6">
        <f t="shared" si="0"/>
        <v>0</v>
      </c>
      <c r="H11" s="7">
        <v>46092</v>
      </c>
      <c r="I11" s="8" t="s">
        <v>177</v>
      </c>
      <c r="J11" s="9">
        <v>46099</v>
      </c>
      <c r="K11" s="4" t="s">
        <v>116</v>
      </c>
      <c r="L11" s="11"/>
    </row>
    <row r="12" spans="1:12" ht="28.5" x14ac:dyDescent="0.25">
      <c r="A12" s="4">
        <v>10</v>
      </c>
      <c r="B12" s="10">
        <v>908312027</v>
      </c>
      <c r="C12" s="11" t="s">
        <v>33</v>
      </c>
      <c r="D12" s="5"/>
      <c r="E12" s="4">
        <v>1</v>
      </c>
      <c r="F12" s="14">
        <v>1</v>
      </c>
      <c r="G12" s="6">
        <f t="shared" si="0"/>
        <v>0</v>
      </c>
      <c r="H12" s="7">
        <v>46092</v>
      </c>
      <c r="I12" s="8" t="s">
        <v>177</v>
      </c>
      <c r="J12" s="9">
        <v>46099</v>
      </c>
      <c r="K12" s="4" t="s">
        <v>116</v>
      </c>
      <c r="L12" s="11"/>
    </row>
    <row r="13" spans="1:12" ht="28.5" x14ac:dyDescent="0.25">
      <c r="A13" s="4">
        <v>11</v>
      </c>
      <c r="B13" s="10" t="s">
        <v>16</v>
      </c>
      <c r="C13" s="11" t="s">
        <v>19</v>
      </c>
      <c r="D13" s="5"/>
      <c r="E13" s="4">
        <v>2</v>
      </c>
      <c r="F13" s="14">
        <v>2</v>
      </c>
      <c r="G13" s="6">
        <f t="shared" si="0"/>
        <v>0</v>
      </c>
      <c r="H13" s="7">
        <v>46092</v>
      </c>
      <c r="I13" s="8" t="s">
        <v>177</v>
      </c>
      <c r="J13" s="9">
        <v>46099</v>
      </c>
      <c r="K13" s="4" t="s">
        <v>116</v>
      </c>
      <c r="L13" s="11"/>
    </row>
    <row r="14" spans="1:12" ht="28.5" x14ac:dyDescent="0.25">
      <c r="A14" s="4">
        <v>12</v>
      </c>
      <c r="B14" s="10">
        <v>908020201</v>
      </c>
      <c r="C14" s="11" t="s">
        <v>12</v>
      </c>
      <c r="D14" s="5"/>
      <c r="E14" s="4">
        <v>2</v>
      </c>
      <c r="F14" s="14"/>
      <c r="G14" s="6">
        <f t="shared" si="0"/>
        <v>2</v>
      </c>
      <c r="H14" s="7">
        <v>46092</v>
      </c>
      <c r="I14" s="8" t="s">
        <v>177</v>
      </c>
      <c r="J14" s="9"/>
      <c r="K14" s="4"/>
      <c r="L14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54DE-F1B7-46AC-B661-338BB76EF836}">
  <sheetPr>
    <pageSetUpPr fitToPage="1"/>
  </sheetPr>
  <dimension ref="A1:L13"/>
  <sheetViews>
    <sheetView zoomScale="78" zoomScaleNormal="78" workbookViewId="0">
      <selection activeCell="B9" sqref="B9:C9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45">
      <c r="A3" s="4">
        <v>1</v>
      </c>
      <c r="B3" s="12" t="s">
        <v>50</v>
      </c>
      <c r="C3" s="11" t="s">
        <v>51</v>
      </c>
      <c r="D3" s="5"/>
      <c r="E3" s="4"/>
      <c r="F3" s="14">
        <v>19</v>
      </c>
      <c r="G3" s="6">
        <f>E3-F3</f>
        <v>-19</v>
      </c>
      <c r="H3" s="7"/>
      <c r="I3" s="8"/>
      <c r="J3" s="9">
        <v>46097</v>
      </c>
      <c r="K3" s="37" t="s">
        <v>116</v>
      </c>
      <c r="L3" s="11"/>
    </row>
    <row r="4" spans="1:12" ht="28.5" x14ac:dyDescent="0.45">
      <c r="A4" s="4">
        <v>2</v>
      </c>
      <c r="B4" s="12">
        <v>908121008</v>
      </c>
      <c r="C4" s="11" t="s">
        <v>14</v>
      </c>
      <c r="D4" s="5"/>
      <c r="E4" s="4">
        <v>2</v>
      </c>
      <c r="F4" s="14">
        <v>2</v>
      </c>
      <c r="G4" s="6">
        <f>E4-F4</f>
        <v>0</v>
      </c>
      <c r="H4" s="7">
        <v>46110</v>
      </c>
      <c r="I4" s="8" t="s">
        <v>13</v>
      </c>
      <c r="J4" s="9">
        <v>46112</v>
      </c>
      <c r="K4" s="37" t="s">
        <v>116</v>
      </c>
      <c r="L4" s="11"/>
    </row>
    <row r="5" spans="1:12" ht="28.5" x14ac:dyDescent="0.45">
      <c r="A5" s="4">
        <v>3</v>
      </c>
      <c r="B5" s="12">
        <v>908020201</v>
      </c>
      <c r="C5" s="11" t="s">
        <v>12</v>
      </c>
      <c r="D5" s="5">
        <v>28867286</v>
      </c>
      <c r="E5" s="4">
        <v>3</v>
      </c>
      <c r="F5" s="14"/>
      <c r="G5" s="6">
        <f>E5-F5</f>
        <v>3</v>
      </c>
      <c r="H5" s="7">
        <v>46114</v>
      </c>
      <c r="I5" s="8" t="s">
        <v>13</v>
      </c>
      <c r="J5" s="9"/>
      <c r="K5" s="37"/>
      <c r="L5" s="11"/>
    </row>
    <row r="6" spans="1:12" ht="28.5" x14ac:dyDescent="0.45">
      <c r="A6" s="4">
        <v>4</v>
      </c>
      <c r="B6" s="12">
        <v>908202189</v>
      </c>
      <c r="C6" s="11" t="s">
        <v>18</v>
      </c>
      <c r="D6" s="5">
        <v>28867286</v>
      </c>
      <c r="E6" s="4">
        <v>2</v>
      </c>
      <c r="F6" s="14">
        <v>3</v>
      </c>
      <c r="G6" s="6">
        <f t="shared" ref="G6:G12" si="0">E6-F6</f>
        <v>-1</v>
      </c>
      <c r="H6" s="7">
        <v>46114</v>
      </c>
      <c r="I6" s="8" t="s">
        <v>13</v>
      </c>
      <c r="J6" s="9">
        <v>46117</v>
      </c>
      <c r="K6" s="37" t="s">
        <v>116</v>
      </c>
      <c r="L6" s="11"/>
    </row>
    <row r="7" spans="1:12" ht="28.5" x14ac:dyDescent="0.45">
      <c r="A7" s="4">
        <v>5</v>
      </c>
      <c r="B7" s="12">
        <v>908402208</v>
      </c>
      <c r="C7" s="12" t="s">
        <v>58</v>
      </c>
      <c r="D7" s="5">
        <v>28867286</v>
      </c>
      <c r="E7" s="4">
        <v>5</v>
      </c>
      <c r="F7" s="14">
        <v>5</v>
      </c>
      <c r="G7" s="6">
        <f t="shared" si="0"/>
        <v>0</v>
      </c>
      <c r="H7" s="7">
        <v>46114</v>
      </c>
      <c r="I7" s="8" t="s">
        <v>13</v>
      </c>
      <c r="J7" s="9">
        <v>46117</v>
      </c>
      <c r="K7" s="37" t="s">
        <v>116</v>
      </c>
      <c r="L7" s="11"/>
    </row>
    <row r="8" spans="1:12" ht="28.5" x14ac:dyDescent="0.45">
      <c r="A8" s="4">
        <v>6</v>
      </c>
      <c r="B8" s="12" t="s">
        <v>16</v>
      </c>
      <c r="C8" s="11" t="s">
        <v>19</v>
      </c>
      <c r="D8" s="5">
        <v>28867286</v>
      </c>
      <c r="E8" s="4">
        <v>2</v>
      </c>
      <c r="F8" s="14">
        <v>3</v>
      </c>
      <c r="G8" s="6">
        <f t="shared" si="0"/>
        <v>-1</v>
      </c>
      <c r="H8" s="7">
        <v>46114</v>
      </c>
      <c r="I8" s="8" t="s">
        <v>13</v>
      </c>
      <c r="J8" s="9">
        <v>46117</v>
      </c>
      <c r="K8" s="37" t="s">
        <v>116</v>
      </c>
      <c r="L8" s="11"/>
    </row>
    <row r="9" spans="1:12" ht="28.5" x14ac:dyDescent="0.45">
      <c r="A9" s="4">
        <v>7</v>
      </c>
      <c r="B9" s="12">
        <v>908111101</v>
      </c>
      <c r="C9" s="11" t="s">
        <v>47</v>
      </c>
      <c r="D9" s="5">
        <v>28867286</v>
      </c>
      <c r="E9" s="4"/>
      <c r="F9" s="14">
        <v>6</v>
      </c>
      <c r="G9" s="6">
        <f t="shared" si="0"/>
        <v>-6</v>
      </c>
      <c r="H9" s="7"/>
      <c r="I9" s="8"/>
      <c r="J9" s="9">
        <v>46117</v>
      </c>
      <c r="K9" s="37" t="s">
        <v>116</v>
      </c>
      <c r="L9" s="11"/>
    </row>
    <row r="10" spans="1:12" ht="28.5" x14ac:dyDescent="0.45">
      <c r="A10" s="4">
        <v>8</v>
      </c>
      <c r="B10" s="12">
        <v>908421031</v>
      </c>
      <c r="C10" s="11" t="s">
        <v>111</v>
      </c>
      <c r="D10" s="5">
        <v>28867286</v>
      </c>
      <c r="E10" s="4">
        <v>2</v>
      </c>
      <c r="F10" s="14">
        <v>2</v>
      </c>
      <c r="G10" s="6">
        <f t="shared" si="0"/>
        <v>0</v>
      </c>
      <c r="H10" s="7">
        <v>46114</v>
      </c>
      <c r="I10" s="8" t="s">
        <v>13</v>
      </c>
      <c r="J10" s="9">
        <v>46117</v>
      </c>
      <c r="K10" s="37" t="s">
        <v>116</v>
      </c>
      <c r="L10" s="11"/>
    </row>
    <row r="11" spans="1:12" ht="28.5" x14ac:dyDescent="0.45">
      <c r="A11" s="4">
        <v>9</v>
      </c>
      <c r="B11" s="12">
        <v>908371013</v>
      </c>
      <c r="C11" s="11" t="s">
        <v>110</v>
      </c>
      <c r="D11" s="5">
        <v>28867286</v>
      </c>
      <c r="E11" s="4">
        <v>5</v>
      </c>
      <c r="F11" s="14">
        <v>5</v>
      </c>
      <c r="G11" s="6">
        <f t="shared" si="0"/>
        <v>0</v>
      </c>
      <c r="H11" s="7">
        <v>46114</v>
      </c>
      <c r="I11" s="8" t="s">
        <v>13</v>
      </c>
      <c r="J11" s="9">
        <v>46117</v>
      </c>
      <c r="K11" s="37" t="s">
        <v>116</v>
      </c>
      <c r="L11" s="11"/>
    </row>
    <row r="12" spans="1:12" ht="28.5" x14ac:dyDescent="0.45">
      <c r="A12" s="4">
        <v>10</v>
      </c>
      <c r="B12" s="12">
        <v>908421025</v>
      </c>
      <c r="C12" s="11" t="s">
        <v>59</v>
      </c>
      <c r="D12" s="5">
        <v>28867286</v>
      </c>
      <c r="E12" s="4">
        <v>1</v>
      </c>
      <c r="F12" s="14">
        <v>1</v>
      </c>
      <c r="G12" s="6">
        <f t="shared" si="0"/>
        <v>0</v>
      </c>
      <c r="H12" s="7">
        <v>46114</v>
      </c>
      <c r="I12" s="8" t="s">
        <v>13</v>
      </c>
      <c r="J12" s="9">
        <v>46117</v>
      </c>
      <c r="K12" s="37" t="s">
        <v>116</v>
      </c>
      <c r="L12" s="11"/>
    </row>
    <row r="13" spans="1:12" ht="28.5" x14ac:dyDescent="0.45">
      <c r="A13" s="4"/>
      <c r="B13" s="12"/>
      <c r="C13" s="11"/>
      <c r="D13" s="5"/>
      <c r="E13" s="4"/>
      <c r="F13" s="14"/>
      <c r="G13" s="6"/>
      <c r="H13" s="7"/>
      <c r="I13" s="8"/>
      <c r="J13" s="9"/>
      <c r="K13" s="37"/>
      <c r="L13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064E-6699-4E36-9BB6-31B1A28D0FBB}">
  <dimension ref="A1:L4"/>
  <sheetViews>
    <sheetView zoomScale="78" zoomScaleNormal="78" workbookViewId="0">
      <selection activeCell="H8" sqref="H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/>
      <c r="E3" s="4"/>
      <c r="F3" s="14">
        <v>13</v>
      </c>
      <c r="G3" s="6">
        <f>E3-F3</f>
        <v>-13</v>
      </c>
      <c r="H3" s="7"/>
      <c r="I3" s="8"/>
      <c r="J3" s="9">
        <v>46096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/>
      <c r="E4" s="4">
        <v>1</v>
      </c>
      <c r="F4" s="14">
        <v>1</v>
      </c>
      <c r="G4" s="6">
        <f>E4-F4</f>
        <v>0</v>
      </c>
      <c r="H4" s="7">
        <v>46110</v>
      </c>
      <c r="I4" s="8" t="s">
        <v>13</v>
      </c>
      <c r="J4" s="9">
        <v>46107</v>
      </c>
      <c r="K4" s="4" t="s">
        <v>116</v>
      </c>
      <c r="L4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920A-2DCF-4937-8414-3DC440F307B4}">
  <dimension ref="A1:L4"/>
  <sheetViews>
    <sheetView zoomScale="78" zoomScaleNormal="78" workbookViewId="0">
      <selection activeCell="G12" sqref="G12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/>
      <c r="E3" s="4"/>
      <c r="F3" s="14">
        <v>24</v>
      </c>
      <c r="G3" s="6">
        <f>E3-F3</f>
        <v>-24</v>
      </c>
      <c r="H3" s="7"/>
      <c r="I3" s="8"/>
      <c r="J3" s="9">
        <v>46096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/>
      <c r="E4" s="4"/>
      <c r="F4" s="14">
        <v>2</v>
      </c>
      <c r="G4" s="6">
        <f>E4-F4</f>
        <v>-2</v>
      </c>
      <c r="H4" s="7"/>
      <c r="I4" s="8"/>
      <c r="J4" s="9">
        <v>46107</v>
      </c>
      <c r="K4" s="4" t="s">
        <v>116</v>
      </c>
      <c r="L4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8453-845A-4D0D-8841-3499AC535265}">
  <dimension ref="A1:L12"/>
  <sheetViews>
    <sheetView zoomScale="78" zoomScaleNormal="78" workbookViewId="0">
      <selection activeCell="I22" sqref="I22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>
        <v>28655866</v>
      </c>
      <c r="E3" s="4"/>
      <c r="F3" s="14">
        <v>21</v>
      </c>
      <c r="G3" s="6">
        <f>E3-F3</f>
        <v>-21</v>
      </c>
      <c r="H3" s="7"/>
      <c r="I3" s="8"/>
      <c r="J3" s="9">
        <v>46095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/>
      <c r="E4" s="4"/>
      <c r="F4" s="14">
        <v>2</v>
      </c>
      <c r="G4" s="6">
        <f>E4-F4</f>
        <v>-2</v>
      </c>
      <c r="H4" s="7"/>
      <c r="I4" s="8"/>
      <c r="J4" s="9">
        <v>46107</v>
      </c>
      <c r="K4" s="4" t="s">
        <v>116</v>
      </c>
      <c r="L4" s="11"/>
    </row>
    <row r="5" spans="1:12" ht="28.5" x14ac:dyDescent="0.25">
      <c r="A5" s="4">
        <v>3</v>
      </c>
      <c r="B5" s="10">
        <v>908421031</v>
      </c>
      <c r="C5" s="11" t="s">
        <v>111</v>
      </c>
      <c r="D5" s="5">
        <v>28996447</v>
      </c>
      <c r="E5" s="4">
        <v>2</v>
      </c>
      <c r="F5" s="14">
        <v>2</v>
      </c>
      <c r="G5" s="6">
        <f t="shared" ref="G5:G11" si="0">E5-F5</f>
        <v>0</v>
      </c>
      <c r="H5" s="7">
        <v>46134</v>
      </c>
      <c r="I5" s="8" t="s">
        <v>13</v>
      </c>
      <c r="J5" s="9">
        <v>46135</v>
      </c>
      <c r="K5" s="4" t="s">
        <v>116</v>
      </c>
      <c r="L5" s="11"/>
    </row>
    <row r="6" spans="1:12" ht="28.5" x14ac:dyDescent="0.25">
      <c r="A6" s="4">
        <v>4</v>
      </c>
      <c r="B6" s="10">
        <v>908202189</v>
      </c>
      <c r="C6" s="11" t="s">
        <v>18</v>
      </c>
      <c r="D6" s="5">
        <v>28996447</v>
      </c>
      <c r="E6" s="4">
        <v>2</v>
      </c>
      <c r="F6" s="14">
        <v>3</v>
      </c>
      <c r="G6" s="6">
        <f t="shared" si="0"/>
        <v>-1</v>
      </c>
      <c r="H6" s="7">
        <v>46132</v>
      </c>
      <c r="I6" s="8" t="s">
        <v>13</v>
      </c>
      <c r="J6" s="9">
        <v>46135</v>
      </c>
      <c r="K6" s="4" t="s">
        <v>116</v>
      </c>
      <c r="L6" s="11"/>
    </row>
    <row r="7" spans="1:12" ht="28.5" x14ac:dyDescent="0.25">
      <c r="A7" s="4">
        <v>5</v>
      </c>
      <c r="B7" s="10">
        <v>908371003</v>
      </c>
      <c r="C7" s="11" t="s">
        <v>132</v>
      </c>
      <c r="D7" s="5">
        <v>28996447</v>
      </c>
      <c r="E7" s="4">
        <v>5</v>
      </c>
      <c r="F7" s="14">
        <v>5</v>
      </c>
      <c r="G7" s="6">
        <f t="shared" si="0"/>
        <v>0</v>
      </c>
      <c r="H7" s="7">
        <v>46132</v>
      </c>
      <c r="I7" s="8" t="s">
        <v>13</v>
      </c>
      <c r="J7" s="9">
        <v>46135</v>
      </c>
      <c r="K7" s="4" t="s">
        <v>116</v>
      </c>
      <c r="L7" s="11"/>
    </row>
    <row r="8" spans="1:12" ht="28.5" x14ac:dyDescent="0.25">
      <c r="A8" s="4">
        <v>6</v>
      </c>
      <c r="B8" s="10">
        <v>908020201</v>
      </c>
      <c r="C8" s="11" t="s">
        <v>12</v>
      </c>
      <c r="D8" s="5">
        <v>28996447</v>
      </c>
      <c r="E8" s="4">
        <v>3</v>
      </c>
      <c r="F8" s="14"/>
      <c r="G8" s="6">
        <f t="shared" si="0"/>
        <v>3</v>
      </c>
      <c r="H8" s="7">
        <v>46132</v>
      </c>
      <c r="I8" s="8" t="s">
        <v>13</v>
      </c>
      <c r="J8" s="9"/>
      <c r="K8" s="4"/>
      <c r="L8" s="11"/>
    </row>
    <row r="9" spans="1:12" ht="28.5" x14ac:dyDescent="0.25">
      <c r="A9" s="4">
        <v>7</v>
      </c>
      <c r="B9" s="10">
        <v>908371012</v>
      </c>
      <c r="C9" s="11" t="s">
        <v>124</v>
      </c>
      <c r="D9" s="5">
        <v>28996447</v>
      </c>
      <c r="E9" s="4">
        <v>5</v>
      </c>
      <c r="F9" s="14">
        <v>5</v>
      </c>
      <c r="G9" s="6">
        <f t="shared" si="0"/>
        <v>0</v>
      </c>
      <c r="H9" s="7">
        <v>46132</v>
      </c>
      <c r="I9" s="8" t="s">
        <v>13</v>
      </c>
      <c r="J9" s="9">
        <v>46135</v>
      </c>
      <c r="K9" s="4" t="s">
        <v>116</v>
      </c>
      <c r="L9" s="11"/>
    </row>
    <row r="10" spans="1:12" ht="28.5" x14ac:dyDescent="0.25">
      <c r="A10" s="4">
        <v>8</v>
      </c>
      <c r="B10" s="10">
        <v>908421025</v>
      </c>
      <c r="C10" s="11" t="s">
        <v>59</v>
      </c>
      <c r="D10" s="5">
        <v>28996447</v>
      </c>
      <c r="E10" s="4">
        <v>1</v>
      </c>
      <c r="F10" s="14">
        <v>1</v>
      </c>
      <c r="G10" s="6">
        <f t="shared" si="0"/>
        <v>0</v>
      </c>
      <c r="H10" s="7">
        <v>46132</v>
      </c>
      <c r="I10" s="8" t="s">
        <v>13</v>
      </c>
      <c r="J10" s="9">
        <v>46135</v>
      </c>
      <c r="K10" s="4" t="s">
        <v>116</v>
      </c>
      <c r="L10" s="11"/>
    </row>
    <row r="11" spans="1:12" ht="28.5" x14ac:dyDescent="0.25">
      <c r="A11" s="4">
        <v>9</v>
      </c>
      <c r="B11" s="12" t="s">
        <v>16</v>
      </c>
      <c r="C11" s="11" t="s">
        <v>19</v>
      </c>
      <c r="D11" s="5">
        <v>28996447</v>
      </c>
      <c r="E11" s="4">
        <v>2</v>
      </c>
      <c r="F11" s="14">
        <v>3</v>
      </c>
      <c r="G11" s="6">
        <f t="shared" si="0"/>
        <v>-1</v>
      </c>
      <c r="H11" s="7">
        <v>46132</v>
      </c>
      <c r="I11" s="8" t="s">
        <v>13</v>
      </c>
      <c r="J11" s="9">
        <v>46135</v>
      </c>
      <c r="K11" s="4" t="s">
        <v>116</v>
      </c>
      <c r="L11" s="11"/>
    </row>
    <row r="12" spans="1:12" ht="28.5" x14ac:dyDescent="0.25">
      <c r="A12" s="4">
        <v>10</v>
      </c>
      <c r="B12" s="12">
        <v>908111101</v>
      </c>
      <c r="C12" s="11" t="s">
        <v>47</v>
      </c>
      <c r="D12" s="5"/>
      <c r="E12" s="4"/>
      <c r="F12" s="14">
        <v>6</v>
      </c>
      <c r="G12" s="6"/>
      <c r="H12" s="7"/>
      <c r="I12" s="8"/>
      <c r="J12" s="9">
        <v>46135</v>
      </c>
      <c r="K12" s="4" t="s">
        <v>116</v>
      </c>
      <c r="L12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85B2-8F99-4C1E-8E18-C6D61A0EA4D5}">
  <sheetPr>
    <pageSetUpPr fitToPage="1"/>
  </sheetPr>
  <dimension ref="A1:L18"/>
  <sheetViews>
    <sheetView zoomScale="78" zoomScaleNormal="78" workbookViewId="0">
      <selection activeCell="B5" sqref="B5:C5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209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28734432</v>
      </c>
      <c r="E3" s="4">
        <v>4</v>
      </c>
      <c r="F3" s="14">
        <v>4</v>
      </c>
      <c r="G3" s="6">
        <f>E3-F3</f>
        <v>0</v>
      </c>
      <c r="H3" s="7">
        <v>46092</v>
      </c>
      <c r="I3" s="8" t="s">
        <v>13</v>
      </c>
      <c r="J3" s="9">
        <v>46094</v>
      </c>
      <c r="K3" s="4" t="s">
        <v>116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28734432</v>
      </c>
      <c r="E4" s="4">
        <v>4</v>
      </c>
      <c r="F4" s="14"/>
      <c r="G4" s="6">
        <f t="shared" ref="G4:G18" si="0">E4-F4</f>
        <v>4</v>
      </c>
      <c r="H4" s="7">
        <v>46092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28734432</v>
      </c>
      <c r="E5" s="4">
        <v>3</v>
      </c>
      <c r="F5" s="14">
        <v>2</v>
      </c>
      <c r="G5" s="6">
        <f t="shared" si="0"/>
        <v>1</v>
      </c>
      <c r="H5" s="7">
        <v>46092</v>
      </c>
      <c r="I5" s="8" t="s">
        <v>13</v>
      </c>
      <c r="J5" s="9">
        <v>46094</v>
      </c>
      <c r="K5" s="4" t="s">
        <v>116</v>
      </c>
      <c r="L5" s="11"/>
    </row>
    <row r="6" spans="1:12" ht="28.5" x14ac:dyDescent="0.25">
      <c r="A6" s="4">
        <v>5</v>
      </c>
      <c r="B6" s="12">
        <v>908111101</v>
      </c>
      <c r="C6" s="11" t="s">
        <v>47</v>
      </c>
      <c r="D6" s="5">
        <v>28734432</v>
      </c>
      <c r="E6" s="4">
        <v>4</v>
      </c>
      <c r="F6" s="14">
        <v>4</v>
      </c>
      <c r="G6" s="6">
        <f t="shared" si="0"/>
        <v>0</v>
      </c>
      <c r="H6" s="7">
        <v>46092</v>
      </c>
      <c r="I6" s="8" t="s">
        <v>13</v>
      </c>
      <c r="J6" s="9">
        <v>46094</v>
      </c>
      <c r="K6" s="4" t="s">
        <v>116</v>
      </c>
      <c r="L6" s="11"/>
    </row>
    <row r="7" spans="1:12" ht="28.5" x14ac:dyDescent="0.25">
      <c r="A7" s="4">
        <v>6</v>
      </c>
      <c r="B7" s="12">
        <v>908421031</v>
      </c>
      <c r="C7" s="11" t="s">
        <v>111</v>
      </c>
      <c r="D7" s="5">
        <v>28734432</v>
      </c>
      <c r="E7" s="4">
        <v>2</v>
      </c>
      <c r="F7" s="14">
        <v>2</v>
      </c>
      <c r="G7" s="6">
        <f t="shared" si="0"/>
        <v>0</v>
      </c>
      <c r="H7" s="7">
        <v>46092</v>
      </c>
      <c r="I7" s="8" t="s">
        <v>13</v>
      </c>
      <c r="J7" s="9">
        <v>46094</v>
      </c>
      <c r="K7" s="4" t="s">
        <v>116</v>
      </c>
      <c r="L7" s="11"/>
    </row>
    <row r="8" spans="1:12" ht="28.5" x14ac:dyDescent="0.25">
      <c r="A8" s="4">
        <v>7</v>
      </c>
      <c r="B8" s="12">
        <v>908202189</v>
      </c>
      <c r="C8" s="11" t="s">
        <v>18</v>
      </c>
      <c r="D8" s="5">
        <v>28734432</v>
      </c>
      <c r="E8" s="4">
        <v>2</v>
      </c>
      <c r="F8" s="14">
        <v>2</v>
      </c>
      <c r="G8" s="6">
        <f t="shared" si="0"/>
        <v>0</v>
      </c>
      <c r="H8" s="7">
        <v>46092</v>
      </c>
      <c r="I8" s="8" t="s">
        <v>13</v>
      </c>
      <c r="J8" s="9">
        <v>46094</v>
      </c>
      <c r="K8" s="4" t="s">
        <v>116</v>
      </c>
      <c r="L8" s="11"/>
    </row>
    <row r="9" spans="1:12" ht="28.5" x14ac:dyDescent="0.25">
      <c r="A9" s="4">
        <v>8</v>
      </c>
      <c r="B9" s="12">
        <v>908371001</v>
      </c>
      <c r="C9" s="11" t="s">
        <v>210</v>
      </c>
      <c r="D9" s="5">
        <v>28734432</v>
      </c>
      <c r="E9" s="4">
        <v>1</v>
      </c>
      <c r="F9" s="14">
        <v>1</v>
      </c>
      <c r="G9" s="6">
        <f t="shared" si="0"/>
        <v>0</v>
      </c>
      <c r="H9" s="7">
        <v>46092</v>
      </c>
      <c r="I9" s="8" t="s">
        <v>13</v>
      </c>
      <c r="J9" s="9">
        <v>46094</v>
      </c>
      <c r="K9" s="4" t="s">
        <v>116</v>
      </c>
      <c r="L9" s="11"/>
    </row>
    <row r="10" spans="1:12" ht="28.5" x14ac:dyDescent="0.25">
      <c r="A10" s="4">
        <v>9</v>
      </c>
      <c r="B10" s="12">
        <v>908020201</v>
      </c>
      <c r="C10" s="11" t="s">
        <v>12</v>
      </c>
      <c r="D10" s="5">
        <v>28734432</v>
      </c>
      <c r="E10" s="4">
        <v>3</v>
      </c>
      <c r="F10" s="14"/>
      <c r="G10" s="6">
        <f t="shared" si="0"/>
        <v>3</v>
      </c>
      <c r="H10" s="7">
        <v>46092</v>
      </c>
      <c r="I10" s="8" t="s">
        <v>13</v>
      </c>
      <c r="J10" s="9"/>
      <c r="K10" s="4"/>
      <c r="L10" s="11"/>
    </row>
    <row r="11" spans="1:12" ht="28.5" x14ac:dyDescent="0.25">
      <c r="A11" s="4">
        <v>10</v>
      </c>
      <c r="B11" s="12">
        <v>908121008</v>
      </c>
      <c r="C11" s="11" t="s">
        <v>14</v>
      </c>
      <c r="D11" s="5">
        <v>28734432</v>
      </c>
      <c r="E11" s="4">
        <v>2</v>
      </c>
      <c r="F11" s="14"/>
      <c r="G11" s="6">
        <f t="shared" si="0"/>
        <v>2</v>
      </c>
      <c r="H11" s="7">
        <v>46092</v>
      </c>
      <c r="I11" s="8" t="s">
        <v>13</v>
      </c>
      <c r="J11" s="9"/>
      <c r="K11" s="4"/>
      <c r="L11" s="11"/>
    </row>
    <row r="12" spans="1:12" ht="28.5" x14ac:dyDescent="0.25">
      <c r="A12" s="4">
        <v>11</v>
      </c>
      <c r="B12" s="12">
        <v>908121010</v>
      </c>
      <c r="C12" s="11" t="s">
        <v>22</v>
      </c>
      <c r="D12" s="5">
        <v>28734432</v>
      </c>
      <c r="E12" s="4">
        <v>2</v>
      </c>
      <c r="F12" s="14"/>
      <c r="G12" s="6">
        <f t="shared" si="0"/>
        <v>2</v>
      </c>
      <c r="H12" s="7">
        <v>46092</v>
      </c>
      <c r="I12" s="8" t="s">
        <v>13</v>
      </c>
      <c r="J12" s="9"/>
      <c r="K12" s="4"/>
      <c r="L12" s="11"/>
    </row>
    <row r="13" spans="1:12" ht="28.5" x14ac:dyDescent="0.25">
      <c r="A13" s="4">
        <v>12</v>
      </c>
      <c r="B13" s="12">
        <v>908122011</v>
      </c>
      <c r="C13" s="11" t="s">
        <v>55</v>
      </c>
      <c r="D13" s="5">
        <v>28734432</v>
      </c>
      <c r="E13" s="4">
        <v>3</v>
      </c>
      <c r="F13" s="14"/>
      <c r="G13" s="6">
        <f t="shared" si="0"/>
        <v>3</v>
      </c>
      <c r="H13" s="7">
        <v>46092</v>
      </c>
      <c r="I13" s="8" t="s">
        <v>13</v>
      </c>
      <c r="J13" s="9"/>
      <c r="K13" s="4"/>
      <c r="L13" s="11"/>
    </row>
    <row r="14" spans="1:12" ht="28.5" x14ac:dyDescent="0.25">
      <c r="A14" s="4">
        <v>13</v>
      </c>
      <c r="B14" s="10">
        <v>908202098</v>
      </c>
      <c r="C14" s="11" t="s">
        <v>20</v>
      </c>
      <c r="D14" s="5">
        <v>28734432</v>
      </c>
      <c r="E14" s="4">
        <v>2</v>
      </c>
      <c r="F14" s="14"/>
      <c r="G14" s="6">
        <f t="shared" si="0"/>
        <v>2</v>
      </c>
      <c r="H14" s="7">
        <v>46092</v>
      </c>
      <c r="I14" s="8" t="s">
        <v>13</v>
      </c>
      <c r="J14" s="9"/>
      <c r="K14" s="4"/>
      <c r="L14" s="11"/>
    </row>
    <row r="15" spans="1:12" ht="28.5" x14ac:dyDescent="0.25">
      <c r="A15" s="4">
        <v>14</v>
      </c>
      <c r="B15" s="12">
        <v>908371013</v>
      </c>
      <c r="C15" s="11" t="s">
        <v>110</v>
      </c>
      <c r="D15" s="5">
        <v>28734432</v>
      </c>
      <c r="E15" s="4">
        <v>1</v>
      </c>
      <c r="F15" s="14">
        <v>1</v>
      </c>
      <c r="G15" s="6">
        <f t="shared" si="0"/>
        <v>0</v>
      </c>
      <c r="H15" s="7">
        <v>46092</v>
      </c>
      <c r="I15" s="8" t="s">
        <v>13</v>
      </c>
      <c r="J15" s="9">
        <v>46094</v>
      </c>
      <c r="K15" s="4" t="s">
        <v>116</v>
      </c>
      <c r="L15" s="11"/>
    </row>
    <row r="16" spans="1:12" ht="28.5" x14ac:dyDescent="0.25">
      <c r="A16" s="4">
        <v>15</v>
      </c>
      <c r="B16" s="12">
        <v>908371014</v>
      </c>
      <c r="C16" s="11" t="s">
        <v>76</v>
      </c>
      <c r="D16" s="5">
        <v>28734432</v>
      </c>
      <c r="E16" s="4">
        <v>2</v>
      </c>
      <c r="F16" s="14">
        <v>2</v>
      </c>
      <c r="G16" s="6">
        <f t="shared" si="0"/>
        <v>0</v>
      </c>
      <c r="H16" s="7">
        <v>46092</v>
      </c>
      <c r="I16" s="8" t="s">
        <v>13</v>
      </c>
      <c r="J16" s="9">
        <v>46094</v>
      </c>
      <c r="K16" s="4" t="s">
        <v>116</v>
      </c>
      <c r="L16" s="11"/>
    </row>
    <row r="17" spans="1:12" ht="28.5" x14ac:dyDescent="0.25">
      <c r="A17" s="4">
        <v>16</v>
      </c>
      <c r="B17" s="12" t="s">
        <v>52</v>
      </c>
      <c r="C17" s="11" t="s">
        <v>53</v>
      </c>
      <c r="D17" s="5">
        <v>28734432</v>
      </c>
      <c r="E17" s="4">
        <v>55</v>
      </c>
      <c r="F17" s="14"/>
      <c r="G17" s="6">
        <f t="shared" si="0"/>
        <v>55</v>
      </c>
      <c r="H17" s="7">
        <v>46093</v>
      </c>
      <c r="I17" s="8" t="s">
        <v>13</v>
      </c>
      <c r="J17" s="9"/>
      <c r="K17" s="4"/>
      <c r="L17" s="11"/>
    </row>
    <row r="18" spans="1:12" ht="28.5" x14ac:dyDescent="0.25">
      <c r="A18" s="4">
        <v>17</v>
      </c>
      <c r="B18" s="12" t="s">
        <v>50</v>
      </c>
      <c r="C18" s="11" t="s">
        <v>51</v>
      </c>
      <c r="D18" s="5">
        <v>28734432</v>
      </c>
      <c r="E18" s="4">
        <v>30</v>
      </c>
      <c r="F18" s="14"/>
      <c r="G18" s="6">
        <f t="shared" si="0"/>
        <v>30</v>
      </c>
      <c r="H18" s="7">
        <v>46093</v>
      </c>
      <c r="I18" s="8" t="s">
        <v>13</v>
      </c>
      <c r="J18" s="9"/>
      <c r="K18" s="4"/>
      <c r="L18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774C-6CE2-482E-94DD-90E6E8C11852}">
  <sheetPr>
    <pageSetUpPr fitToPage="1"/>
  </sheetPr>
  <dimension ref="A1:L28"/>
  <sheetViews>
    <sheetView zoomScale="78" zoomScaleNormal="78" workbookViewId="0">
      <selection activeCell="I25" sqref="I25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198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4">
        <v>908312027</v>
      </c>
      <c r="C3" s="12" t="s">
        <v>199</v>
      </c>
      <c r="D3" s="4">
        <v>28706097</v>
      </c>
      <c r="E3" s="4">
        <v>1</v>
      </c>
      <c r="F3" s="14">
        <v>1</v>
      </c>
      <c r="G3" s="6">
        <f>E3-F3</f>
        <v>0</v>
      </c>
      <c r="H3" s="7">
        <v>46090</v>
      </c>
      <c r="I3" s="8" t="s">
        <v>13</v>
      </c>
      <c r="J3" s="9">
        <v>46105</v>
      </c>
      <c r="K3" s="4" t="s">
        <v>103</v>
      </c>
      <c r="L3" s="11"/>
    </row>
    <row r="4" spans="1:12" ht="28.5" x14ac:dyDescent="0.25">
      <c r="A4" s="4">
        <v>2</v>
      </c>
      <c r="B4" s="4">
        <v>908111101</v>
      </c>
      <c r="C4" s="12" t="s">
        <v>92</v>
      </c>
      <c r="D4" s="4">
        <v>28706097</v>
      </c>
      <c r="E4" s="4">
        <v>18</v>
      </c>
      <c r="F4" s="14">
        <v>6</v>
      </c>
      <c r="G4" s="6">
        <f t="shared" ref="G4:G23" si="0">E4-F4</f>
        <v>12</v>
      </c>
      <c r="H4" s="7">
        <v>46090</v>
      </c>
      <c r="I4" s="8" t="s">
        <v>13</v>
      </c>
      <c r="J4" s="9">
        <v>46112</v>
      </c>
      <c r="K4" s="4" t="s">
        <v>103</v>
      </c>
      <c r="L4" s="11"/>
    </row>
    <row r="5" spans="1:12" ht="28.5" x14ac:dyDescent="0.25">
      <c r="A5" s="4">
        <v>3</v>
      </c>
      <c r="B5" s="4">
        <v>908202054</v>
      </c>
      <c r="C5" s="12" t="s">
        <v>19</v>
      </c>
      <c r="D5" s="4">
        <v>28706097</v>
      </c>
      <c r="E5" s="4">
        <v>6</v>
      </c>
      <c r="F5" s="14">
        <v>6</v>
      </c>
      <c r="G5" s="6">
        <f t="shared" si="0"/>
        <v>0</v>
      </c>
      <c r="H5" s="7">
        <v>46090</v>
      </c>
      <c r="I5" s="8" t="s">
        <v>13</v>
      </c>
      <c r="J5" s="9">
        <v>46112</v>
      </c>
      <c r="K5" s="4" t="s">
        <v>103</v>
      </c>
      <c r="L5" s="11"/>
    </row>
    <row r="6" spans="1:12" ht="28.5" x14ac:dyDescent="0.25">
      <c r="A6" s="4">
        <v>4</v>
      </c>
      <c r="B6" s="4">
        <v>908202098</v>
      </c>
      <c r="C6" s="12" t="s">
        <v>200</v>
      </c>
      <c r="D6" s="4">
        <v>28706097</v>
      </c>
      <c r="E6" s="4">
        <v>2</v>
      </c>
      <c r="F6" s="14">
        <v>2</v>
      </c>
      <c r="G6" s="6">
        <f t="shared" si="0"/>
        <v>0</v>
      </c>
      <c r="H6" s="7">
        <v>46090</v>
      </c>
      <c r="I6" s="8" t="s">
        <v>13</v>
      </c>
      <c r="J6" s="9">
        <v>46112</v>
      </c>
      <c r="K6" s="4" t="s">
        <v>103</v>
      </c>
      <c r="L6" s="11"/>
    </row>
    <row r="7" spans="1:12" ht="28.5" x14ac:dyDescent="0.25">
      <c r="A7" s="4">
        <v>5</v>
      </c>
      <c r="B7" s="4">
        <v>908202030</v>
      </c>
      <c r="C7" s="12" t="s">
        <v>93</v>
      </c>
      <c r="D7" s="4">
        <v>28706097</v>
      </c>
      <c r="E7" s="4">
        <v>2</v>
      </c>
      <c r="F7" s="14">
        <v>2</v>
      </c>
      <c r="G7" s="6">
        <f t="shared" si="0"/>
        <v>0</v>
      </c>
      <c r="H7" s="7">
        <v>46090</v>
      </c>
      <c r="I7" s="8" t="s">
        <v>13</v>
      </c>
      <c r="J7" s="9">
        <v>46112</v>
      </c>
      <c r="K7" s="4" t="s">
        <v>103</v>
      </c>
      <c r="L7" s="11"/>
    </row>
    <row r="8" spans="1:12" ht="28.5" x14ac:dyDescent="0.25">
      <c r="A8" s="4">
        <v>6</v>
      </c>
      <c r="B8" s="4">
        <v>908113004</v>
      </c>
      <c r="C8" s="12" t="s">
        <v>201</v>
      </c>
      <c r="D8" s="4">
        <v>28706097</v>
      </c>
      <c r="E8" s="4">
        <v>9</v>
      </c>
      <c r="F8" s="14">
        <v>8</v>
      </c>
      <c r="G8" s="6">
        <f t="shared" si="0"/>
        <v>1</v>
      </c>
      <c r="H8" s="7">
        <v>46090</v>
      </c>
      <c r="I8" s="8" t="s">
        <v>13</v>
      </c>
      <c r="J8" s="9">
        <v>46105</v>
      </c>
      <c r="K8" s="4" t="s">
        <v>103</v>
      </c>
      <c r="L8" s="11"/>
    </row>
    <row r="9" spans="1:12" ht="28.5" x14ac:dyDescent="0.25">
      <c r="A9" s="4">
        <v>7</v>
      </c>
      <c r="B9" s="4">
        <v>908121040</v>
      </c>
      <c r="C9" s="12" t="s">
        <v>70</v>
      </c>
      <c r="D9" s="4">
        <v>28706097</v>
      </c>
      <c r="E9" s="4">
        <v>2</v>
      </c>
      <c r="F9" s="14">
        <v>2</v>
      </c>
      <c r="G9" s="6">
        <f t="shared" si="0"/>
        <v>0</v>
      </c>
      <c r="H9" s="7">
        <v>46090</v>
      </c>
      <c r="I9" s="8" t="s">
        <v>13</v>
      </c>
      <c r="J9" s="9">
        <v>46105</v>
      </c>
      <c r="K9" s="4" t="s">
        <v>103</v>
      </c>
      <c r="L9" s="11"/>
    </row>
    <row r="10" spans="1:12" ht="28.5" x14ac:dyDescent="0.25">
      <c r="A10" s="4">
        <v>8</v>
      </c>
      <c r="B10" s="4">
        <v>908569114</v>
      </c>
      <c r="C10" s="12" t="s">
        <v>202</v>
      </c>
      <c r="D10" s="4">
        <v>28706097</v>
      </c>
      <c r="E10" s="4">
        <v>1</v>
      </c>
      <c r="F10" s="14">
        <v>1</v>
      </c>
      <c r="G10" s="6">
        <f t="shared" si="0"/>
        <v>0</v>
      </c>
      <c r="H10" s="7">
        <v>46090</v>
      </c>
      <c r="I10" s="8" t="s">
        <v>13</v>
      </c>
      <c r="J10" s="9">
        <v>46105</v>
      </c>
      <c r="K10" s="4" t="s">
        <v>103</v>
      </c>
      <c r="L10" s="11"/>
    </row>
    <row r="11" spans="1:12" ht="28.5" x14ac:dyDescent="0.25">
      <c r="A11" s="4">
        <v>9</v>
      </c>
      <c r="B11" s="4">
        <v>908321012</v>
      </c>
      <c r="C11" s="12" t="s">
        <v>203</v>
      </c>
      <c r="D11" s="4">
        <v>28706097</v>
      </c>
      <c r="E11" s="4">
        <v>1</v>
      </c>
      <c r="F11" s="14">
        <v>1</v>
      </c>
      <c r="G11" s="6">
        <f t="shared" si="0"/>
        <v>0</v>
      </c>
      <c r="H11" s="7">
        <v>46090</v>
      </c>
      <c r="I11" s="8" t="s">
        <v>13</v>
      </c>
      <c r="J11" s="9">
        <v>46105</v>
      </c>
      <c r="K11" s="4" t="s">
        <v>103</v>
      </c>
      <c r="L11" s="11"/>
    </row>
    <row r="12" spans="1:12" ht="28.5" x14ac:dyDescent="0.25">
      <c r="A12" s="4">
        <v>10</v>
      </c>
      <c r="B12" s="4">
        <v>908111102</v>
      </c>
      <c r="C12" s="12" t="s">
        <v>81</v>
      </c>
      <c r="D12" s="4">
        <v>28706097</v>
      </c>
      <c r="E12" s="4">
        <v>25</v>
      </c>
      <c r="F12" s="14">
        <v>25</v>
      </c>
      <c r="G12" s="6">
        <f t="shared" si="0"/>
        <v>0</v>
      </c>
      <c r="H12" s="7">
        <v>46090</v>
      </c>
      <c r="I12" s="8" t="s">
        <v>13</v>
      </c>
      <c r="J12" s="9">
        <v>46112</v>
      </c>
      <c r="K12" s="4" t="s">
        <v>103</v>
      </c>
      <c r="L12" s="11"/>
    </row>
    <row r="13" spans="1:12" ht="28.5" x14ac:dyDescent="0.25">
      <c r="A13" s="4">
        <v>11</v>
      </c>
      <c r="B13" s="4">
        <v>908202189</v>
      </c>
      <c r="C13" s="12" t="s">
        <v>82</v>
      </c>
      <c r="D13" s="4">
        <v>28706097</v>
      </c>
      <c r="E13" s="4">
        <v>5</v>
      </c>
      <c r="F13" s="14">
        <v>7</v>
      </c>
      <c r="G13" s="6">
        <f t="shared" si="0"/>
        <v>-2</v>
      </c>
      <c r="H13" s="7">
        <v>46090</v>
      </c>
      <c r="I13" s="8" t="s">
        <v>13</v>
      </c>
      <c r="J13" s="9">
        <v>46112</v>
      </c>
      <c r="K13" s="4" t="s">
        <v>103</v>
      </c>
      <c r="L13" s="11"/>
    </row>
    <row r="14" spans="1:12" ht="28.5" x14ac:dyDescent="0.25">
      <c r="A14" s="4">
        <v>12</v>
      </c>
      <c r="B14" s="4">
        <v>908122034</v>
      </c>
      <c r="C14" s="12" t="s">
        <v>21</v>
      </c>
      <c r="D14" s="4">
        <v>28706097</v>
      </c>
      <c r="E14" s="4">
        <v>4</v>
      </c>
      <c r="F14" s="14">
        <v>7</v>
      </c>
      <c r="G14" s="6">
        <f t="shared" si="0"/>
        <v>-3</v>
      </c>
      <c r="H14" s="7">
        <v>46090</v>
      </c>
      <c r="I14" s="8" t="s">
        <v>13</v>
      </c>
      <c r="J14" s="9">
        <v>46112</v>
      </c>
      <c r="K14" s="4" t="s">
        <v>103</v>
      </c>
      <c r="L14" s="11"/>
    </row>
    <row r="15" spans="1:12" ht="28.5" x14ac:dyDescent="0.25">
      <c r="A15" s="4">
        <v>13</v>
      </c>
      <c r="B15" s="4">
        <v>908111005</v>
      </c>
      <c r="C15" s="12" t="s">
        <v>51</v>
      </c>
      <c r="D15" s="4">
        <v>28706097</v>
      </c>
      <c r="E15" s="4">
        <v>22</v>
      </c>
      <c r="F15" s="14">
        <v>22</v>
      </c>
      <c r="G15" s="6">
        <f t="shared" si="0"/>
        <v>0</v>
      </c>
      <c r="H15" s="7">
        <v>46090</v>
      </c>
      <c r="I15" s="8" t="s">
        <v>13</v>
      </c>
      <c r="J15" s="9">
        <v>46112</v>
      </c>
      <c r="K15" s="4" t="s">
        <v>103</v>
      </c>
      <c r="L15" s="11"/>
    </row>
    <row r="16" spans="1:12" ht="28.5" x14ac:dyDescent="0.25">
      <c r="A16" s="4">
        <v>14</v>
      </c>
      <c r="B16" s="4">
        <v>908111007</v>
      </c>
      <c r="C16" s="12" t="s">
        <v>53</v>
      </c>
      <c r="D16" s="4">
        <v>28706097</v>
      </c>
      <c r="E16" s="4">
        <v>110</v>
      </c>
      <c r="F16" s="14">
        <v>108</v>
      </c>
      <c r="G16" s="6">
        <f t="shared" si="0"/>
        <v>2</v>
      </c>
      <c r="H16" s="7">
        <v>46091</v>
      </c>
      <c r="I16" s="8" t="s">
        <v>13</v>
      </c>
      <c r="J16" s="9">
        <v>46112</v>
      </c>
      <c r="K16" s="4" t="s">
        <v>103</v>
      </c>
      <c r="L16" s="11"/>
    </row>
    <row r="17" spans="1:12" ht="28.5" x14ac:dyDescent="0.25">
      <c r="A17" s="4">
        <v>15</v>
      </c>
      <c r="B17" s="4">
        <v>908114004</v>
      </c>
      <c r="C17" s="12" t="s">
        <v>204</v>
      </c>
      <c r="D17" s="4">
        <v>28706097</v>
      </c>
      <c r="E17" s="4">
        <v>250</v>
      </c>
      <c r="F17" s="14">
        <v>223</v>
      </c>
      <c r="G17" s="6">
        <f t="shared" si="0"/>
        <v>27</v>
      </c>
      <c r="H17" s="7">
        <v>46090</v>
      </c>
      <c r="I17" s="8" t="s">
        <v>13</v>
      </c>
      <c r="J17" s="9">
        <v>46112</v>
      </c>
      <c r="K17" s="4" t="s">
        <v>103</v>
      </c>
      <c r="L17" s="11"/>
    </row>
    <row r="18" spans="1:12" ht="28.5" x14ac:dyDescent="0.25">
      <c r="A18" s="4">
        <v>16</v>
      </c>
      <c r="B18" s="4">
        <v>908121150</v>
      </c>
      <c r="C18" s="12" t="s">
        <v>205</v>
      </c>
      <c r="D18" s="4">
        <v>28706097</v>
      </c>
      <c r="E18" s="4">
        <v>2</v>
      </c>
      <c r="F18" s="14">
        <v>2</v>
      </c>
      <c r="G18" s="6">
        <f t="shared" si="0"/>
        <v>0</v>
      </c>
      <c r="H18" s="7">
        <v>46090</v>
      </c>
      <c r="I18" s="8" t="s">
        <v>13</v>
      </c>
      <c r="J18" s="9">
        <v>46127</v>
      </c>
      <c r="K18" s="4" t="s">
        <v>103</v>
      </c>
      <c r="L18" s="11"/>
    </row>
    <row r="19" spans="1:12" ht="28.5" x14ac:dyDescent="0.25">
      <c r="A19" s="4">
        <v>17</v>
      </c>
      <c r="B19" s="4">
        <v>908121008</v>
      </c>
      <c r="C19" s="12" t="s">
        <v>206</v>
      </c>
      <c r="D19" s="4">
        <v>28706097</v>
      </c>
      <c r="E19" s="4">
        <v>2</v>
      </c>
      <c r="F19" s="14">
        <v>2</v>
      </c>
      <c r="G19" s="6">
        <f t="shared" si="0"/>
        <v>0</v>
      </c>
      <c r="H19" s="7">
        <v>46090</v>
      </c>
      <c r="I19" s="8" t="s">
        <v>13</v>
      </c>
      <c r="J19" s="9">
        <v>46112</v>
      </c>
      <c r="K19" s="4" t="s">
        <v>103</v>
      </c>
      <c r="L19" s="11"/>
    </row>
    <row r="20" spans="1:12" ht="28.5" x14ac:dyDescent="0.25">
      <c r="A20" s="4">
        <v>18</v>
      </c>
      <c r="B20" s="4">
        <v>908121010</v>
      </c>
      <c r="C20" s="12" t="s">
        <v>22</v>
      </c>
      <c r="D20" s="4">
        <v>28706097</v>
      </c>
      <c r="E20" s="4">
        <v>2</v>
      </c>
      <c r="F20" s="14">
        <v>2</v>
      </c>
      <c r="G20" s="6">
        <f t="shared" si="0"/>
        <v>0</v>
      </c>
      <c r="H20" s="7">
        <v>46090</v>
      </c>
      <c r="I20" s="8" t="s">
        <v>13</v>
      </c>
      <c r="J20" s="9">
        <v>46112</v>
      </c>
      <c r="K20" s="4" t="s">
        <v>103</v>
      </c>
      <c r="L20" s="11"/>
    </row>
    <row r="21" spans="1:12" ht="28.5" x14ac:dyDescent="0.25">
      <c r="A21" s="4">
        <v>19</v>
      </c>
      <c r="B21" s="4">
        <v>908121144</v>
      </c>
      <c r="C21" s="12" t="s">
        <v>70</v>
      </c>
      <c r="D21" s="4">
        <v>28706097</v>
      </c>
      <c r="E21" s="4">
        <v>2</v>
      </c>
      <c r="F21" s="14">
        <v>2</v>
      </c>
      <c r="G21" s="6">
        <f t="shared" si="0"/>
        <v>0</v>
      </c>
      <c r="H21" s="7">
        <v>46090</v>
      </c>
      <c r="I21" s="8" t="s">
        <v>13</v>
      </c>
      <c r="J21" s="9">
        <v>46112</v>
      </c>
      <c r="K21" s="4" t="s">
        <v>103</v>
      </c>
      <c r="L21" s="11"/>
    </row>
    <row r="22" spans="1:12" ht="28.5" x14ac:dyDescent="0.25">
      <c r="A22" s="4">
        <v>20</v>
      </c>
      <c r="B22" s="4">
        <v>908122011</v>
      </c>
      <c r="C22" s="12" t="s">
        <v>207</v>
      </c>
      <c r="D22" s="4">
        <v>28706097</v>
      </c>
      <c r="E22" s="4">
        <v>3</v>
      </c>
      <c r="F22" s="14">
        <v>3</v>
      </c>
      <c r="G22" s="6">
        <f t="shared" si="0"/>
        <v>0</v>
      </c>
      <c r="H22" s="7">
        <v>46090</v>
      </c>
      <c r="I22" s="8" t="s">
        <v>13</v>
      </c>
      <c r="J22" s="9">
        <v>46112</v>
      </c>
      <c r="K22" s="4" t="s">
        <v>103</v>
      </c>
      <c r="L22" s="11"/>
    </row>
    <row r="23" spans="1:12" ht="28.5" x14ac:dyDescent="0.25">
      <c r="A23" s="4">
        <v>21</v>
      </c>
      <c r="B23" s="4">
        <v>908020201</v>
      </c>
      <c r="C23" s="12" t="s">
        <v>88</v>
      </c>
      <c r="D23" s="4">
        <v>28706097</v>
      </c>
      <c r="E23" s="4">
        <v>3</v>
      </c>
      <c r="F23" s="14">
        <v>2</v>
      </c>
      <c r="G23" s="6">
        <f t="shared" si="0"/>
        <v>1</v>
      </c>
      <c r="H23" s="7">
        <v>46090</v>
      </c>
      <c r="I23" s="8" t="s">
        <v>13</v>
      </c>
      <c r="J23" s="9">
        <v>46112</v>
      </c>
      <c r="K23" s="4" t="s">
        <v>103</v>
      </c>
      <c r="L23" s="11"/>
    </row>
    <row r="24" spans="1:12" ht="28.5" x14ac:dyDescent="0.25">
      <c r="A24" s="4"/>
      <c r="B24" s="4"/>
      <c r="C24" s="12"/>
      <c r="D24" s="4"/>
      <c r="E24" s="4"/>
      <c r="F24" s="14"/>
      <c r="G24" s="6"/>
      <c r="H24" s="7"/>
      <c r="I24" s="8"/>
      <c r="J24" s="9"/>
      <c r="K24" s="4"/>
      <c r="L24" s="11"/>
    </row>
    <row r="25" spans="1:12" ht="26.25" x14ac:dyDescent="0.25">
      <c r="A25" s="1" t="s">
        <v>0</v>
      </c>
      <c r="B25" s="2" t="s">
        <v>1</v>
      </c>
      <c r="C25" s="1" t="s">
        <v>2</v>
      </c>
      <c r="D25" s="1" t="s">
        <v>4</v>
      </c>
      <c r="E25" s="49" t="s">
        <v>236</v>
      </c>
      <c r="F25" s="50"/>
      <c r="G25" s="49" t="s">
        <v>10</v>
      </c>
      <c r="H25" s="50"/>
    </row>
    <row r="26" spans="1:12" ht="26.25" x14ac:dyDescent="0.25">
      <c r="A26" s="4">
        <v>1</v>
      </c>
      <c r="B26" s="4">
        <v>908111007</v>
      </c>
      <c r="C26" s="12" t="s">
        <v>53</v>
      </c>
      <c r="D26" s="4">
        <v>1.5</v>
      </c>
      <c r="E26" s="47">
        <v>46113</v>
      </c>
      <c r="F26" s="48"/>
      <c r="G26" s="48" t="s">
        <v>103</v>
      </c>
      <c r="H26" s="48"/>
    </row>
    <row r="27" spans="1:12" ht="26.25" x14ac:dyDescent="0.25">
      <c r="A27" s="4">
        <v>2</v>
      </c>
      <c r="B27" s="4">
        <v>908114004</v>
      </c>
      <c r="C27" s="12" t="s">
        <v>204</v>
      </c>
      <c r="D27" s="4">
        <v>2.5</v>
      </c>
      <c r="E27" s="47">
        <v>46113</v>
      </c>
      <c r="F27" s="48"/>
      <c r="G27" s="48" t="s">
        <v>103</v>
      </c>
      <c r="H27" s="48"/>
    </row>
    <row r="28" spans="1:12" ht="26.25" x14ac:dyDescent="0.25">
      <c r="A28" s="4">
        <v>3</v>
      </c>
      <c r="B28" s="4">
        <v>908114004</v>
      </c>
      <c r="C28" s="12" t="s">
        <v>204</v>
      </c>
      <c r="D28" s="4">
        <f>1+1+1+1+1+1</f>
        <v>6</v>
      </c>
      <c r="E28" s="47">
        <v>46128</v>
      </c>
      <c r="F28" s="48"/>
      <c r="G28" s="48" t="s">
        <v>103</v>
      </c>
      <c r="H28" s="48"/>
    </row>
  </sheetData>
  <mergeCells count="9">
    <mergeCell ref="E27:F27"/>
    <mergeCell ref="G27:H27"/>
    <mergeCell ref="E28:F28"/>
    <mergeCell ref="G28:H28"/>
    <mergeCell ref="A1:L1"/>
    <mergeCell ref="E25:F25"/>
    <mergeCell ref="G25:H25"/>
    <mergeCell ref="E26:F26"/>
    <mergeCell ref="G26:H26"/>
  </mergeCells>
  <pageMargins left="0.25" right="0.25" top="0.75" bottom="0.75" header="0.3" footer="0.3"/>
  <pageSetup scale="30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679D-07BA-4635-BF82-0919DB8C3A1D}">
  <sheetPr>
    <pageSetUpPr fitToPage="1"/>
  </sheetPr>
  <dimension ref="A1:L11"/>
  <sheetViews>
    <sheetView zoomScale="78" zoomScaleNormal="78" workbookViewId="0">
      <selection activeCell="B3" sqref="B3:C1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197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28732269</v>
      </c>
      <c r="E3" s="4">
        <v>5</v>
      </c>
      <c r="F3" s="14">
        <v>5</v>
      </c>
      <c r="G3" s="6">
        <f>E3-F3</f>
        <v>0</v>
      </c>
      <c r="H3" s="7">
        <v>46091</v>
      </c>
      <c r="I3" s="8" t="s">
        <v>13</v>
      </c>
      <c r="J3" s="9">
        <v>46093</v>
      </c>
      <c r="K3" s="4" t="s">
        <v>116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28732269</v>
      </c>
      <c r="E4" s="4">
        <v>3</v>
      </c>
      <c r="F4" s="14"/>
      <c r="G4" s="6">
        <f t="shared" ref="G4:G11" si="0">E4-F4</f>
        <v>3</v>
      </c>
      <c r="H4" s="7">
        <v>46091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28732269</v>
      </c>
      <c r="E5" s="4">
        <v>2</v>
      </c>
      <c r="F5" s="14">
        <v>3</v>
      </c>
      <c r="G5" s="6">
        <f t="shared" si="0"/>
        <v>-1</v>
      </c>
      <c r="H5" s="7">
        <v>46091</v>
      </c>
      <c r="I5" s="8" t="s">
        <v>13</v>
      </c>
      <c r="J5" s="9">
        <v>46093</v>
      </c>
      <c r="K5" s="4" t="s">
        <v>116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28732269</v>
      </c>
      <c r="E6" s="4">
        <v>1</v>
      </c>
      <c r="F6" s="14">
        <v>1</v>
      </c>
      <c r="G6" s="6">
        <f t="shared" si="0"/>
        <v>0</v>
      </c>
      <c r="H6" s="7">
        <v>46091</v>
      </c>
      <c r="I6" s="8" t="s">
        <v>13</v>
      </c>
      <c r="J6" s="9">
        <v>46093</v>
      </c>
      <c r="K6" s="4" t="s">
        <v>116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28732269</v>
      </c>
      <c r="E7" s="4">
        <v>6</v>
      </c>
      <c r="F7" s="14">
        <v>6</v>
      </c>
      <c r="G7" s="6">
        <f t="shared" si="0"/>
        <v>0</v>
      </c>
      <c r="H7" s="7">
        <v>46093</v>
      </c>
      <c r="I7" s="8" t="s">
        <v>13</v>
      </c>
      <c r="J7" s="9">
        <v>46093</v>
      </c>
      <c r="K7" s="4" t="s">
        <v>116</v>
      </c>
      <c r="L7" s="11"/>
    </row>
    <row r="8" spans="1:12" ht="28.5" x14ac:dyDescent="0.25">
      <c r="A8" s="4">
        <v>6</v>
      </c>
      <c r="B8" s="12">
        <v>908421031</v>
      </c>
      <c r="C8" s="11" t="s">
        <v>111</v>
      </c>
      <c r="D8" s="5">
        <v>28732269</v>
      </c>
      <c r="E8" s="4">
        <v>2</v>
      </c>
      <c r="F8" s="14">
        <v>2</v>
      </c>
      <c r="G8" s="6">
        <f t="shared" si="0"/>
        <v>0</v>
      </c>
      <c r="H8" s="7">
        <v>46091</v>
      </c>
      <c r="I8" s="8" t="s">
        <v>13</v>
      </c>
      <c r="J8" s="9">
        <v>46093</v>
      </c>
      <c r="K8" s="4" t="s">
        <v>116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28732269</v>
      </c>
      <c r="E9" s="4">
        <v>3</v>
      </c>
      <c r="F9" s="14">
        <v>3</v>
      </c>
      <c r="G9" s="6">
        <f t="shared" si="0"/>
        <v>0</v>
      </c>
      <c r="H9" s="7">
        <v>46091</v>
      </c>
      <c r="I9" s="8" t="s">
        <v>13</v>
      </c>
      <c r="J9" s="9">
        <v>46093</v>
      </c>
      <c r="K9" s="4" t="s">
        <v>116</v>
      </c>
      <c r="L9" s="11"/>
    </row>
    <row r="10" spans="1:12" ht="28.5" x14ac:dyDescent="0.25">
      <c r="A10" s="4">
        <v>8</v>
      </c>
      <c r="B10" s="12">
        <v>908371013</v>
      </c>
      <c r="C10" s="11" t="s">
        <v>110</v>
      </c>
      <c r="D10" s="5">
        <v>28732269</v>
      </c>
      <c r="E10" s="4">
        <v>5</v>
      </c>
      <c r="F10" s="14">
        <v>5</v>
      </c>
      <c r="G10" s="6">
        <f t="shared" si="0"/>
        <v>0</v>
      </c>
      <c r="H10" s="7">
        <v>46091</v>
      </c>
      <c r="I10" s="8" t="s">
        <v>13</v>
      </c>
      <c r="J10" s="9">
        <v>46093</v>
      </c>
      <c r="K10" s="4" t="s">
        <v>116</v>
      </c>
      <c r="L10" s="11"/>
    </row>
    <row r="11" spans="1:12" ht="28.5" x14ac:dyDescent="0.25">
      <c r="A11" s="4">
        <v>9</v>
      </c>
      <c r="B11" s="12">
        <v>908020201</v>
      </c>
      <c r="C11" s="11" t="s">
        <v>12</v>
      </c>
      <c r="D11" s="5">
        <v>28732269</v>
      </c>
      <c r="E11" s="4">
        <v>4</v>
      </c>
      <c r="F11" s="14"/>
      <c r="G11" s="6">
        <f t="shared" si="0"/>
        <v>4</v>
      </c>
      <c r="H11" s="7">
        <v>46091</v>
      </c>
      <c r="I11" s="8" t="s">
        <v>13</v>
      </c>
      <c r="J11" s="9"/>
      <c r="K11" s="4"/>
      <c r="L11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2DEA-BD4B-4B1E-A27B-0F25A66E239F}">
  <dimension ref="A1:L18"/>
  <sheetViews>
    <sheetView zoomScale="78" zoomScaleNormal="78" workbookViewId="0">
      <selection sqref="A1:L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196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29040113</v>
      </c>
      <c r="E3" s="4"/>
      <c r="F3" s="14">
        <v>26</v>
      </c>
      <c r="G3" s="6">
        <f>E3-F3</f>
        <v>-26</v>
      </c>
      <c r="H3" s="7"/>
      <c r="I3" s="8" t="s">
        <v>13</v>
      </c>
      <c r="J3" s="9">
        <v>46091</v>
      </c>
      <c r="K3" s="4" t="s">
        <v>177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29040113</v>
      </c>
      <c r="E4" s="4"/>
      <c r="F4" s="14">
        <v>21</v>
      </c>
      <c r="G4" s="6">
        <f t="shared" ref="G4:G18" si="0">E4-F4</f>
        <v>-21</v>
      </c>
      <c r="H4" s="7"/>
      <c r="I4" s="8" t="s">
        <v>13</v>
      </c>
      <c r="J4" s="9">
        <v>46091</v>
      </c>
      <c r="K4" s="4" t="s">
        <v>177</v>
      </c>
      <c r="L4" s="11"/>
    </row>
    <row r="5" spans="1:12" ht="52.5" x14ac:dyDescent="0.25">
      <c r="A5" s="4">
        <v>3</v>
      </c>
      <c r="B5" s="10">
        <v>908121008</v>
      </c>
      <c r="C5" s="11" t="s">
        <v>14</v>
      </c>
      <c r="D5" s="5">
        <v>29040113</v>
      </c>
      <c r="E5" s="4">
        <v>2</v>
      </c>
      <c r="F5" s="14">
        <v>2</v>
      </c>
      <c r="G5" s="6">
        <f t="shared" si="0"/>
        <v>0</v>
      </c>
      <c r="H5" s="7">
        <v>46089</v>
      </c>
      <c r="I5" s="8" t="s">
        <v>13</v>
      </c>
      <c r="J5" s="24" t="s">
        <v>216</v>
      </c>
      <c r="K5" s="4" t="s">
        <v>177</v>
      </c>
      <c r="L5" s="11"/>
    </row>
    <row r="6" spans="1:12" ht="28.5" x14ac:dyDescent="0.25">
      <c r="A6" s="4">
        <v>4</v>
      </c>
      <c r="B6" s="10">
        <v>908121010</v>
      </c>
      <c r="C6" s="11" t="s">
        <v>22</v>
      </c>
      <c r="D6" s="5">
        <v>29040113</v>
      </c>
      <c r="E6" s="4">
        <v>2</v>
      </c>
      <c r="F6" s="14">
        <f>1+1</f>
        <v>2</v>
      </c>
      <c r="G6" s="6">
        <f t="shared" si="0"/>
        <v>0</v>
      </c>
      <c r="H6" s="7">
        <v>46089</v>
      </c>
      <c r="I6" s="8" t="s">
        <v>13</v>
      </c>
      <c r="J6" s="9">
        <v>46091</v>
      </c>
      <c r="K6" s="4" t="s">
        <v>177</v>
      </c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>
        <v>29040113</v>
      </c>
      <c r="E7" s="4">
        <v>3</v>
      </c>
      <c r="F7" s="14">
        <v>3</v>
      </c>
      <c r="G7" s="6">
        <f t="shared" si="0"/>
        <v>0</v>
      </c>
      <c r="H7" s="7">
        <v>46089</v>
      </c>
      <c r="I7" s="8" t="s">
        <v>13</v>
      </c>
      <c r="J7" s="9">
        <v>46097</v>
      </c>
      <c r="K7" s="4" t="s">
        <v>177</v>
      </c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29040113</v>
      </c>
      <c r="E8" s="4">
        <v>2</v>
      </c>
      <c r="F8" s="14">
        <v>2</v>
      </c>
      <c r="G8" s="6">
        <f t="shared" si="0"/>
        <v>0</v>
      </c>
      <c r="H8" s="7"/>
      <c r="I8" s="8" t="s">
        <v>13</v>
      </c>
      <c r="J8" s="9">
        <v>46091</v>
      </c>
      <c r="K8" s="4" t="s">
        <v>177</v>
      </c>
      <c r="L8" s="11"/>
    </row>
    <row r="9" spans="1:12" ht="52.5" x14ac:dyDescent="0.25">
      <c r="A9" s="4">
        <v>7</v>
      </c>
      <c r="B9" s="10">
        <v>908111101</v>
      </c>
      <c r="C9" s="11" t="s">
        <v>47</v>
      </c>
      <c r="D9" s="5">
        <v>29040113</v>
      </c>
      <c r="E9" s="4">
        <f>6+6</f>
        <v>12</v>
      </c>
      <c r="F9" s="14">
        <f>6+6</f>
        <v>12</v>
      </c>
      <c r="G9" s="6">
        <f t="shared" si="0"/>
        <v>0</v>
      </c>
      <c r="H9" s="7" t="s">
        <v>306</v>
      </c>
      <c r="I9" s="8" t="s">
        <v>13</v>
      </c>
      <c r="J9" s="24" t="s">
        <v>307</v>
      </c>
      <c r="K9" s="4" t="s">
        <v>177</v>
      </c>
      <c r="L9" s="11"/>
    </row>
    <row r="10" spans="1:12" ht="28.5" x14ac:dyDescent="0.25">
      <c r="A10" s="4">
        <v>8</v>
      </c>
      <c r="B10" s="10">
        <v>908202030</v>
      </c>
      <c r="C10" s="11" t="s">
        <v>15</v>
      </c>
      <c r="D10" s="5">
        <v>29040113</v>
      </c>
      <c r="E10" s="4">
        <v>2</v>
      </c>
      <c r="F10" s="14">
        <v>2</v>
      </c>
      <c r="G10" s="6">
        <f t="shared" si="0"/>
        <v>0</v>
      </c>
      <c r="H10" s="7">
        <v>46089</v>
      </c>
      <c r="I10" s="8" t="s">
        <v>13</v>
      </c>
      <c r="J10" s="9">
        <v>46091</v>
      </c>
      <c r="K10" s="4" t="s">
        <v>177</v>
      </c>
      <c r="L10" s="11"/>
    </row>
    <row r="11" spans="1:12" ht="28.5" x14ac:dyDescent="0.25">
      <c r="A11" s="4">
        <v>9</v>
      </c>
      <c r="B11" s="10">
        <v>908312027</v>
      </c>
      <c r="C11" s="11" t="s">
        <v>33</v>
      </c>
      <c r="D11" s="5">
        <v>29040113</v>
      </c>
      <c r="E11" s="4">
        <v>1</v>
      </c>
      <c r="F11" s="14">
        <v>1</v>
      </c>
      <c r="G11" s="6">
        <f t="shared" si="0"/>
        <v>0</v>
      </c>
      <c r="H11" s="7">
        <v>46089</v>
      </c>
      <c r="I11" s="8" t="s">
        <v>13</v>
      </c>
      <c r="J11" s="9">
        <v>46091</v>
      </c>
      <c r="K11" s="4" t="s">
        <v>177</v>
      </c>
      <c r="L11" s="11"/>
    </row>
    <row r="12" spans="1:12" ht="52.5" x14ac:dyDescent="0.25">
      <c r="A12" s="4">
        <v>10</v>
      </c>
      <c r="B12" s="10" t="s">
        <v>16</v>
      </c>
      <c r="C12" s="11" t="s">
        <v>19</v>
      </c>
      <c r="D12" s="5">
        <v>29040113</v>
      </c>
      <c r="E12" s="4">
        <f>2+2</f>
        <v>4</v>
      </c>
      <c r="F12" s="14">
        <v>2</v>
      </c>
      <c r="G12" s="6">
        <f t="shared" si="0"/>
        <v>2</v>
      </c>
      <c r="H12" s="7" t="s">
        <v>305</v>
      </c>
      <c r="I12" s="8" t="s">
        <v>13</v>
      </c>
      <c r="J12" s="24" t="s">
        <v>307</v>
      </c>
      <c r="K12" s="4" t="s">
        <v>177</v>
      </c>
      <c r="L12" s="11"/>
    </row>
    <row r="13" spans="1:12" ht="42" x14ac:dyDescent="0.25">
      <c r="A13" s="4">
        <v>11</v>
      </c>
      <c r="B13" s="10">
        <v>908020201</v>
      </c>
      <c r="C13" s="11" t="s">
        <v>12</v>
      </c>
      <c r="D13" s="5">
        <v>29040113</v>
      </c>
      <c r="E13" s="4">
        <f>1+3</f>
        <v>4</v>
      </c>
      <c r="F13" s="14"/>
      <c r="G13" s="6">
        <f t="shared" si="0"/>
        <v>4</v>
      </c>
      <c r="H13" s="7" t="s">
        <v>305</v>
      </c>
      <c r="I13" s="8" t="s">
        <v>13</v>
      </c>
      <c r="J13" s="9"/>
      <c r="K13" s="4"/>
      <c r="L13" s="11"/>
    </row>
    <row r="14" spans="1:12" ht="28.5" x14ac:dyDescent="0.25">
      <c r="A14" s="4">
        <v>12</v>
      </c>
      <c r="B14" s="12">
        <v>908402208</v>
      </c>
      <c r="C14" s="12" t="s">
        <v>58</v>
      </c>
      <c r="D14" s="5">
        <v>29040113</v>
      </c>
      <c r="E14" s="4">
        <v>6</v>
      </c>
      <c r="F14" s="14"/>
      <c r="G14" s="6">
        <f t="shared" si="0"/>
        <v>6</v>
      </c>
      <c r="H14" s="7">
        <v>46139</v>
      </c>
      <c r="I14" s="8" t="s">
        <v>13</v>
      </c>
      <c r="J14" s="9">
        <v>46140</v>
      </c>
      <c r="K14" s="4" t="s">
        <v>177</v>
      </c>
      <c r="L14" s="11"/>
    </row>
    <row r="15" spans="1:12" ht="28.5" x14ac:dyDescent="0.25">
      <c r="A15" s="4">
        <v>13</v>
      </c>
      <c r="B15" s="12">
        <v>908421031</v>
      </c>
      <c r="C15" s="11" t="s">
        <v>111</v>
      </c>
      <c r="D15" s="5">
        <v>29040113</v>
      </c>
      <c r="E15" s="4">
        <v>3</v>
      </c>
      <c r="F15" s="14"/>
      <c r="G15" s="6">
        <f t="shared" si="0"/>
        <v>3</v>
      </c>
      <c r="H15" s="7">
        <v>46139</v>
      </c>
      <c r="I15" s="8" t="s">
        <v>13</v>
      </c>
      <c r="J15" s="9">
        <v>46140</v>
      </c>
      <c r="K15" s="4" t="s">
        <v>177</v>
      </c>
      <c r="L15" s="11"/>
    </row>
    <row r="16" spans="1:12" ht="28.5" x14ac:dyDescent="0.25">
      <c r="A16" s="4">
        <v>14</v>
      </c>
      <c r="B16" s="12">
        <v>908202189</v>
      </c>
      <c r="C16" s="11" t="s">
        <v>18</v>
      </c>
      <c r="D16" s="5">
        <v>29040113</v>
      </c>
      <c r="E16" s="4">
        <v>2</v>
      </c>
      <c r="F16" s="14"/>
      <c r="G16" s="6">
        <f t="shared" si="0"/>
        <v>2</v>
      </c>
      <c r="H16" s="7">
        <v>46139</v>
      </c>
      <c r="I16" s="8" t="s">
        <v>13</v>
      </c>
      <c r="J16" s="9">
        <v>46140</v>
      </c>
      <c r="K16" s="4" t="s">
        <v>177</v>
      </c>
      <c r="L16" s="11"/>
    </row>
    <row r="17" spans="1:12" ht="28.5" x14ac:dyDescent="0.25">
      <c r="A17" s="4">
        <v>15</v>
      </c>
      <c r="B17" s="12">
        <v>908371013</v>
      </c>
      <c r="C17" s="11" t="s">
        <v>128</v>
      </c>
      <c r="D17" s="5">
        <v>29040113</v>
      </c>
      <c r="E17" s="4">
        <v>5</v>
      </c>
      <c r="F17" s="14"/>
      <c r="G17" s="6">
        <f t="shared" si="0"/>
        <v>5</v>
      </c>
      <c r="H17" s="7">
        <v>46139</v>
      </c>
      <c r="I17" s="8" t="s">
        <v>13</v>
      </c>
      <c r="J17" s="9">
        <v>46140</v>
      </c>
      <c r="K17" s="4" t="s">
        <v>177</v>
      </c>
      <c r="L17" s="11"/>
    </row>
    <row r="18" spans="1:12" ht="28.5" x14ac:dyDescent="0.25">
      <c r="A18" s="4">
        <v>16</v>
      </c>
      <c r="B18" s="12">
        <v>908371012</v>
      </c>
      <c r="C18" s="11" t="s">
        <v>124</v>
      </c>
      <c r="D18" s="5">
        <v>29040113</v>
      </c>
      <c r="E18" s="4">
        <v>1</v>
      </c>
      <c r="F18" s="14"/>
      <c r="G18" s="6">
        <f t="shared" si="0"/>
        <v>1</v>
      </c>
      <c r="H18" s="7">
        <v>46139</v>
      </c>
      <c r="I18" s="8" t="s">
        <v>13</v>
      </c>
      <c r="J18" s="9">
        <v>46140</v>
      </c>
      <c r="K18" s="4" t="s">
        <v>177</v>
      </c>
      <c r="L18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913D-DD96-4ACE-AB30-376CD14F7EFD}">
  <dimension ref="A1:L4"/>
  <sheetViews>
    <sheetView zoomScale="78" zoomScaleNormal="78" workbookViewId="0">
      <selection activeCell="H16" sqref="H16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195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>
        <v>28655866</v>
      </c>
      <c r="E3" s="4">
        <v>29</v>
      </c>
      <c r="F3" s="14">
        <v>20</v>
      </c>
      <c r="G3" s="6">
        <f>E3-F3</f>
        <v>9</v>
      </c>
      <c r="H3" s="7"/>
      <c r="I3" s="8" t="s">
        <v>13</v>
      </c>
      <c r="J3" s="9">
        <v>46095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>
        <v>28655866</v>
      </c>
      <c r="E4" s="4">
        <v>2</v>
      </c>
      <c r="F4" s="14">
        <v>2</v>
      </c>
      <c r="G4" s="6">
        <f>E4-F4</f>
        <v>0</v>
      </c>
      <c r="H4" s="7">
        <v>46078</v>
      </c>
      <c r="I4" s="8" t="s">
        <v>13</v>
      </c>
      <c r="J4" s="9">
        <v>46095</v>
      </c>
      <c r="K4" s="4" t="s">
        <v>116</v>
      </c>
      <c r="L4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8925-C10B-4F6F-A049-325767D88BAA}">
  <dimension ref="A1:L13"/>
  <sheetViews>
    <sheetView zoomScale="78" zoomScaleNormal="78" workbookViewId="0">
      <selection activeCell="F28" sqref="F2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194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28649542</v>
      </c>
      <c r="E3" s="4">
        <v>27</v>
      </c>
      <c r="F3" s="14">
        <v>27</v>
      </c>
      <c r="G3" s="6">
        <f>E3-F3</f>
        <v>0</v>
      </c>
      <c r="H3" s="7">
        <v>46078</v>
      </c>
      <c r="I3" s="8" t="s">
        <v>13</v>
      </c>
      <c r="J3" s="9">
        <v>46090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28649542</v>
      </c>
      <c r="E4" s="4">
        <v>56</v>
      </c>
      <c r="F4" s="14">
        <v>56</v>
      </c>
      <c r="G4" s="6">
        <f t="shared" ref="G4:G11" si="0">E4-F4</f>
        <v>0</v>
      </c>
      <c r="H4" s="7">
        <v>46078</v>
      </c>
      <c r="I4" s="8" t="s">
        <v>13</v>
      </c>
      <c r="J4" s="9">
        <v>46090</v>
      </c>
      <c r="K4" s="4" t="s">
        <v>116</v>
      </c>
      <c r="L4" s="11"/>
    </row>
    <row r="5" spans="1:12" ht="28.5" x14ac:dyDescent="0.25">
      <c r="A5" s="4">
        <v>3</v>
      </c>
      <c r="B5" s="10">
        <v>908121008</v>
      </c>
      <c r="C5" s="11" t="s">
        <v>14</v>
      </c>
      <c r="D5" s="5">
        <v>28649542</v>
      </c>
      <c r="E5" s="4">
        <v>2</v>
      </c>
      <c r="F5" s="14">
        <v>2</v>
      </c>
      <c r="G5" s="6">
        <f t="shared" si="0"/>
        <v>0</v>
      </c>
      <c r="H5" s="7">
        <v>46078</v>
      </c>
      <c r="I5" s="8" t="s">
        <v>13</v>
      </c>
      <c r="J5" s="9">
        <v>46090</v>
      </c>
      <c r="K5" s="4" t="s">
        <v>116</v>
      </c>
      <c r="L5" s="11"/>
    </row>
    <row r="6" spans="1:12" ht="28.5" x14ac:dyDescent="0.25">
      <c r="A6" s="4">
        <v>4</v>
      </c>
      <c r="B6" s="10">
        <v>908121010</v>
      </c>
      <c r="C6" s="11" t="s">
        <v>22</v>
      </c>
      <c r="D6" s="5">
        <v>28649542</v>
      </c>
      <c r="E6" s="4">
        <v>2</v>
      </c>
      <c r="F6" s="14">
        <v>2</v>
      </c>
      <c r="G6" s="6">
        <f t="shared" si="0"/>
        <v>0</v>
      </c>
      <c r="H6" s="7">
        <v>46078</v>
      </c>
      <c r="I6" s="8" t="s">
        <v>13</v>
      </c>
      <c r="J6" s="9">
        <v>46090</v>
      </c>
      <c r="K6" s="4" t="s">
        <v>116</v>
      </c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>
        <v>28649542</v>
      </c>
      <c r="E7" s="4">
        <v>3</v>
      </c>
      <c r="F7" s="14">
        <v>3</v>
      </c>
      <c r="G7" s="6">
        <f t="shared" si="0"/>
        <v>0</v>
      </c>
      <c r="H7" s="7">
        <v>46078</v>
      </c>
      <c r="I7" s="8" t="s">
        <v>13</v>
      </c>
      <c r="J7" s="9">
        <v>46090</v>
      </c>
      <c r="K7" s="4" t="s">
        <v>116</v>
      </c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28649542</v>
      </c>
      <c r="E8" s="4">
        <v>2</v>
      </c>
      <c r="F8" s="14">
        <v>2</v>
      </c>
      <c r="G8" s="6">
        <f t="shared" si="0"/>
        <v>0</v>
      </c>
      <c r="H8" s="7">
        <v>46078</v>
      </c>
      <c r="I8" s="8" t="s">
        <v>13</v>
      </c>
      <c r="J8" s="9">
        <v>46090</v>
      </c>
      <c r="K8" s="4" t="s">
        <v>116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>
        <v>28649542</v>
      </c>
      <c r="E9" s="4">
        <v>6</v>
      </c>
      <c r="F9" s="14">
        <v>6</v>
      </c>
      <c r="G9" s="6">
        <f t="shared" si="0"/>
        <v>0</v>
      </c>
      <c r="H9" s="7">
        <v>46078</v>
      </c>
      <c r="I9" s="8" t="s">
        <v>13</v>
      </c>
      <c r="J9" s="9">
        <v>46090</v>
      </c>
      <c r="K9" s="4" t="s">
        <v>116</v>
      </c>
      <c r="L9" s="11"/>
    </row>
    <row r="10" spans="1:12" ht="28.5" x14ac:dyDescent="0.25">
      <c r="A10" s="4">
        <v>8</v>
      </c>
      <c r="B10" s="10">
        <v>908202030</v>
      </c>
      <c r="C10" s="11" t="s">
        <v>15</v>
      </c>
      <c r="D10" s="5">
        <v>28649542</v>
      </c>
      <c r="E10" s="4">
        <v>2</v>
      </c>
      <c r="F10" s="14">
        <v>2</v>
      </c>
      <c r="G10" s="6">
        <f t="shared" si="0"/>
        <v>0</v>
      </c>
      <c r="H10" s="7">
        <v>46078</v>
      </c>
      <c r="I10" s="8" t="s">
        <v>13</v>
      </c>
      <c r="J10" s="9">
        <v>46090</v>
      </c>
      <c r="K10" s="4" t="s">
        <v>116</v>
      </c>
      <c r="L10" s="11"/>
    </row>
    <row r="11" spans="1:12" ht="28.5" x14ac:dyDescent="0.25">
      <c r="A11" s="4">
        <v>9</v>
      </c>
      <c r="B11" s="10">
        <v>908312027</v>
      </c>
      <c r="C11" s="11" t="s">
        <v>33</v>
      </c>
      <c r="D11" s="5">
        <v>28649542</v>
      </c>
      <c r="E11" s="4">
        <v>1</v>
      </c>
      <c r="F11" s="14">
        <v>1</v>
      </c>
      <c r="G11" s="6">
        <f t="shared" si="0"/>
        <v>0</v>
      </c>
      <c r="H11" s="7">
        <v>46078</v>
      </c>
      <c r="I11" s="8" t="s">
        <v>13</v>
      </c>
      <c r="J11" s="9">
        <v>46090</v>
      </c>
      <c r="K11" s="4" t="s">
        <v>116</v>
      </c>
      <c r="L11" s="11"/>
    </row>
    <row r="12" spans="1:12" ht="28.5" x14ac:dyDescent="0.25">
      <c r="A12" s="4">
        <v>10</v>
      </c>
      <c r="B12" s="10" t="s">
        <v>16</v>
      </c>
      <c r="C12" s="11" t="s">
        <v>19</v>
      </c>
      <c r="D12" s="5">
        <v>28649542</v>
      </c>
      <c r="E12" s="4">
        <v>2</v>
      </c>
      <c r="F12" s="14">
        <v>2</v>
      </c>
      <c r="G12" s="6">
        <f>E12-F12</f>
        <v>0</v>
      </c>
      <c r="H12" s="7">
        <v>46078</v>
      </c>
      <c r="I12" s="8" t="s">
        <v>13</v>
      </c>
      <c r="J12" s="9">
        <v>46090</v>
      </c>
      <c r="K12" s="4" t="s">
        <v>116</v>
      </c>
      <c r="L12" s="11"/>
    </row>
    <row r="13" spans="1:12" ht="28.5" x14ac:dyDescent="0.25">
      <c r="A13" s="4">
        <v>11</v>
      </c>
      <c r="B13" s="10">
        <v>908020201</v>
      </c>
      <c r="C13" s="11" t="s">
        <v>12</v>
      </c>
      <c r="D13" s="5">
        <v>28649542</v>
      </c>
      <c r="E13" s="4">
        <v>1</v>
      </c>
      <c r="F13" s="14"/>
      <c r="G13" s="6">
        <f>E13-F13</f>
        <v>1</v>
      </c>
      <c r="H13" s="7">
        <v>46078</v>
      </c>
      <c r="I13" s="8" t="s">
        <v>13</v>
      </c>
      <c r="J13" s="9"/>
      <c r="K13" s="4"/>
      <c r="L13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7A8B-5C31-4E13-BB0B-493BB6A8B529}">
  <dimension ref="A1:L17"/>
  <sheetViews>
    <sheetView zoomScale="78" zoomScaleNormal="78" workbookViewId="0">
      <selection activeCell="B8" sqref="B8:C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193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28609177</v>
      </c>
      <c r="E3" s="4"/>
      <c r="F3" s="14">
        <v>41</v>
      </c>
      <c r="G3" s="6">
        <f>E3-F3</f>
        <v>-41</v>
      </c>
      <c r="H3" s="7"/>
      <c r="I3" s="8"/>
      <c r="J3" s="9">
        <v>46089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28609177</v>
      </c>
      <c r="E4" s="4"/>
      <c r="F4" s="14">
        <v>72</v>
      </c>
      <c r="G4" s="6">
        <f t="shared" ref="G4:G17" si="0">E4-F4</f>
        <v>-72</v>
      </c>
      <c r="H4" s="7"/>
      <c r="I4" s="8"/>
      <c r="J4" s="9">
        <v>46089</v>
      </c>
      <c r="K4" s="4" t="s">
        <v>116</v>
      </c>
      <c r="L4" s="11"/>
    </row>
    <row r="5" spans="1:12" ht="28.5" x14ac:dyDescent="0.25">
      <c r="A5" s="4">
        <v>3</v>
      </c>
      <c r="B5" s="10">
        <v>908121008</v>
      </c>
      <c r="C5" s="11" t="s">
        <v>14</v>
      </c>
      <c r="D5" s="5">
        <v>28609177</v>
      </c>
      <c r="E5" s="4">
        <v>3</v>
      </c>
      <c r="F5" s="14">
        <v>3</v>
      </c>
      <c r="G5" s="6">
        <f t="shared" si="0"/>
        <v>0</v>
      </c>
      <c r="H5" s="7">
        <v>46076</v>
      </c>
      <c r="I5" s="8" t="s">
        <v>13</v>
      </c>
      <c r="J5" s="9">
        <v>46094</v>
      </c>
      <c r="K5" s="4" t="s">
        <v>116</v>
      </c>
      <c r="L5" s="11"/>
    </row>
    <row r="6" spans="1:12" ht="28.5" x14ac:dyDescent="0.25">
      <c r="A6" s="4">
        <v>4</v>
      </c>
      <c r="B6" s="10">
        <v>908121010</v>
      </c>
      <c r="C6" s="11" t="s">
        <v>22</v>
      </c>
      <c r="D6" s="5">
        <v>28609177</v>
      </c>
      <c r="E6" s="4">
        <v>2</v>
      </c>
      <c r="F6" s="14">
        <f>1+1</f>
        <v>2</v>
      </c>
      <c r="G6" s="6">
        <f t="shared" si="0"/>
        <v>0</v>
      </c>
      <c r="H6" s="7">
        <v>46076</v>
      </c>
      <c r="I6" s="8" t="s">
        <v>13</v>
      </c>
      <c r="J6" s="9">
        <v>46089</v>
      </c>
      <c r="K6" s="4" t="s">
        <v>116</v>
      </c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>
        <v>28609177</v>
      </c>
      <c r="E7" s="4">
        <v>3</v>
      </c>
      <c r="F7" s="14">
        <v>3</v>
      </c>
      <c r="G7" s="6">
        <f t="shared" si="0"/>
        <v>0</v>
      </c>
      <c r="H7" s="7">
        <v>46076</v>
      </c>
      <c r="I7" s="8" t="s">
        <v>13</v>
      </c>
      <c r="J7" s="9">
        <v>46089</v>
      </c>
      <c r="K7" s="4" t="s">
        <v>116</v>
      </c>
      <c r="L7" s="11"/>
    </row>
    <row r="8" spans="1:12" ht="28.5" x14ac:dyDescent="0.25">
      <c r="A8" s="4">
        <v>6</v>
      </c>
      <c r="B8" s="10">
        <v>908202030</v>
      </c>
      <c r="C8" s="11" t="s">
        <v>15</v>
      </c>
      <c r="D8" s="5">
        <v>28609177</v>
      </c>
      <c r="E8" s="4">
        <v>2</v>
      </c>
      <c r="F8" s="14">
        <v>2</v>
      </c>
      <c r="G8" s="6">
        <f t="shared" si="0"/>
        <v>0</v>
      </c>
      <c r="H8" s="7">
        <v>46076</v>
      </c>
      <c r="I8" s="8" t="s">
        <v>13</v>
      </c>
      <c r="J8" s="9">
        <v>46094</v>
      </c>
      <c r="K8" s="4" t="s">
        <v>116</v>
      </c>
      <c r="L8" s="11"/>
    </row>
    <row r="9" spans="1:12" ht="52.5" x14ac:dyDescent="0.25">
      <c r="A9" s="4">
        <v>7</v>
      </c>
      <c r="B9" s="10" t="s">
        <v>16</v>
      </c>
      <c r="C9" s="11" t="s">
        <v>19</v>
      </c>
      <c r="D9" s="26" t="s">
        <v>227</v>
      </c>
      <c r="E9" s="4">
        <f>2+3</f>
        <v>5</v>
      </c>
      <c r="F9" s="14">
        <f>2+3</f>
        <v>5</v>
      </c>
      <c r="G9" s="6">
        <f t="shared" si="0"/>
        <v>0</v>
      </c>
      <c r="H9" s="7" t="s">
        <v>228</v>
      </c>
      <c r="I9" s="8" t="s">
        <v>13</v>
      </c>
      <c r="J9" s="24" t="s">
        <v>229</v>
      </c>
      <c r="K9" s="4" t="s">
        <v>116</v>
      </c>
      <c r="L9" s="11"/>
    </row>
    <row r="10" spans="1:12" ht="28.5" x14ac:dyDescent="0.25">
      <c r="A10" s="4">
        <v>8</v>
      </c>
      <c r="B10" s="10">
        <v>908202098</v>
      </c>
      <c r="C10" s="11" t="s">
        <v>20</v>
      </c>
      <c r="D10" s="5">
        <v>28609177</v>
      </c>
      <c r="E10" s="4">
        <v>2</v>
      </c>
      <c r="F10" s="14">
        <v>2</v>
      </c>
      <c r="G10" s="6">
        <f t="shared" si="0"/>
        <v>0</v>
      </c>
      <c r="H10" s="7">
        <v>46076</v>
      </c>
      <c r="I10" s="8" t="s">
        <v>13</v>
      </c>
      <c r="J10" s="9">
        <v>46094</v>
      </c>
      <c r="K10" s="4" t="s">
        <v>116</v>
      </c>
      <c r="L10" s="11"/>
    </row>
    <row r="11" spans="1:12" ht="42" x14ac:dyDescent="0.25">
      <c r="A11" s="4">
        <v>9</v>
      </c>
      <c r="B11" s="10">
        <v>908020201</v>
      </c>
      <c r="C11" s="11" t="s">
        <v>12</v>
      </c>
      <c r="D11" s="26" t="s">
        <v>227</v>
      </c>
      <c r="E11" s="4">
        <f>1+3</f>
        <v>4</v>
      </c>
      <c r="F11" s="14"/>
      <c r="G11" s="6">
        <f t="shared" si="0"/>
        <v>4</v>
      </c>
      <c r="H11" s="7" t="s">
        <v>228</v>
      </c>
      <c r="I11" s="8" t="s">
        <v>13</v>
      </c>
      <c r="J11" s="9">
        <v>46094</v>
      </c>
      <c r="K11" s="4" t="s">
        <v>116</v>
      </c>
      <c r="L11" s="11"/>
    </row>
    <row r="12" spans="1:12" ht="28.5" x14ac:dyDescent="0.25">
      <c r="A12" s="4">
        <v>10</v>
      </c>
      <c r="B12" s="10">
        <v>908312027</v>
      </c>
      <c r="C12" s="11" t="s">
        <v>33</v>
      </c>
      <c r="D12" s="5">
        <v>28609177</v>
      </c>
      <c r="E12" s="4">
        <v>1</v>
      </c>
      <c r="F12" s="14">
        <v>1</v>
      </c>
      <c r="G12" s="6">
        <f t="shared" si="0"/>
        <v>0</v>
      </c>
      <c r="H12" s="7">
        <v>46076</v>
      </c>
      <c r="I12" s="8" t="s">
        <v>13</v>
      </c>
      <c r="J12" s="9">
        <v>46094</v>
      </c>
      <c r="K12" s="4" t="s">
        <v>116</v>
      </c>
      <c r="L12" s="11"/>
    </row>
    <row r="13" spans="1:12" ht="52.5" x14ac:dyDescent="0.25">
      <c r="A13" s="4">
        <v>11</v>
      </c>
      <c r="B13" s="10">
        <v>908111101</v>
      </c>
      <c r="C13" s="11" t="s">
        <v>47</v>
      </c>
      <c r="D13" s="26" t="s">
        <v>227</v>
      </c>
      <c r="E13" s="4">
        <f>6+6</f>
        <v>12</v>
      </c>
      <c r="F13" s="14">
        <f>6+6</f>
        <v>12</v>
      </c>
      <c r="G13" s="6">
        <f t="shared" si="0"/>
        <v>0</v>
      </c>
      <c r="H13" s="7" t="s">
        <v>228</v>
      </c>
      <c r="I13" s="8" t="s">
        <v>13</v>
      </c>
      <c r="J13" s="24" t="s">
        <v>229</v>
      </c>
      <c r="K13" s="4" t="s">
        <v>116</v>
      </c>
      <c r="L13" s="11"/>
    </row>
    <row r="14" spans="1:12" ht="28.5" x14ac:dyDescent="0.25">
      <c r="A14" s="4">
        <v>12</v>
      </c>
      <c r="B14" s="12">
        <v>908421025</v>
      </c>
      <c r="C14" s="11" t="s">
        <v>59</v>
      </c>
      <c r="D14" s="5">
        <v>28807493</v>
      </c>
      <c r="E14" s="4">
        <v>3</v>
      </c>
      <c r="F14" s="14">
        <v>3</v>
      </c>
      <c r="G14" s="6">
        <f t="shared" si="0"/>
        <v>0</v>
      </c>
      <c r="H14" s="7">
        <v>46107</v>
      </c>
      <c r="I14" s="8" t="s">
        <v>13</v>
      </c>
      <c r="J14" s="9">
        <v>46109</v>
      </c>
      <c r="K14" s="4" t="s">
        <v>116</v>
      </c>
      <c r="L14" s="11"/>
    </row>
    <row r="15" spans="1:12" ht="28.5" x14ac:dyDescent="0.25">
      <c r="A15" s="4">
        <v>13</v>
      </c>
      <c r="B15" s="12">
        <v>908202189</v>
      </c>
      <c r="C15" s="11" t="s">
        <v>18</v>
      </c>
      <c r="D15" s="5">
        <v>28807493</v>
      </c>
      <c r="E15" s="4">
        <v>3</v>
      </c>
      <c r="F15" s="14">
        <v>3</v>
      </c>
      <c r="G15" s="6">
        <f t="shared" si="0"/>
        <v>0</v>
      </c>
      <c r="H15" s="7">
        <v>46107</v>
      </c>
      <c r="I15" s="8" t="s">
        <v>13</v>
      </c>
      <c r="J15" s="9">
        <v>46109</v>
      </c>
      <c r="K15" s="4" t="s">
        <v>116</v>
      </c>
      <c r="L15" s="11"/>
    </row>
    <row r="16" spans="1:12" ht="28.5" x14ac:dyDescent="0.25">
      <c r="A16" s="4">
        <v>14</v>
      </c>
      <c r="B16" s="12">
        <v>908371014</v>
      </c>
      <c r="C16" s="11" t="s">
        <v>76</v>
      </c>
      <c r="D16" s="5">
        <v>28807493</v>
      </c>
      <c r="E16" s="4">
        <v>3</v>
      </c>
      <c r="F16" s="14">
        <v>3</v>
      </c>
      <c r="G16" s="6">
        <f t="shared" si="0"/>
        <v>0</v>
      </c>
      <c r="H16" s="7">
        <v>46107</v>
      </c>
      <c r="I16" s="8" t="s">
        <v>13</v>
      </c>
      <c r="J16" s="9">
        <v>46109</v>
      </c>
      <c r="K16" s="4" t="s">
        <v>116</v>
      </c>
      <c r="L16" s="11"/>
    </row>
    <row r="17" spans="1:12" ht="28.5" x14ac:dyDescent="0.25">
      <c r="A17" s="4">
        <v>15</v>
      </c>
      <c r="B17" s="12">
        <v>908402208</v>
      </c>
      <c r="C17" s="11" t="s">
        <v>58</v>
      </c>
      <c r="D17" s="5">
        <v>28807493</v>
      </c>
      <c r="E17" s="4">
        <v>3</v>
      </c>
      <c r="F17" s="14">
        <v>3</v>
      </c>
      <c r="G17" s="6">
        <f t="shared" si="0"/>
        <v>0</v>
      </c>
      <c r="H17" s="7">
        <v>46107</v>
      </c>
      <c r="I17" s="8" t="s">
        <v>13</v>
      </c>
      <c r="J17" s="9">
        <v>46109</v>
      </c>
      <c r="K17" s="4" t="s">
        <v>116</v>
      </c>
      <c r="L17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9E65-B014-4339-B9C9-DA4F2CB7254D}">
  <dimension ref="A1:L16"/>
  <sheetViews>
    <sheetView zoomScale="78" zoomScaleNormal="78" workbookViewId="0">
      <selection activeCell="C18" sqref="C1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184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908421004</v>
      </c>
      <c r="C3" s="12" t="s">
        <v>185</v>
      </c>
      <c r="D3" s="5">
        <v>28688771</v>
      </c>
      <c r="E3" s="4">
        <v>1</v>
      </c>
      <c r="F3" s="14">
        <v>1</v>
      </c>
      <c r="G3" s="6">
        <f>E3-F3</f>
        <v>0</v>
      </c>
      <c r="H3" s="7">
        <v>46083</v>
      </c>
      <c r="I3" s="8" t="s">
        <v>177</v>
      </c>
      <c r="J3" s="9">
        <v>46084</v>
      </c>
      <c r="K3" s="4" t="s">
        <v>188</v>
      </c>
      <c r="L3" s="11"/>
    </row>
    <row r="4" spans="1:12" ht="28.5" x14ac:dyDescent="0.25">
      <c r="A4" s="4">
        <v>2</v>
      </c>
      <c r="B4" s="12">
        <v>908402206</v>
      </c>
      <c r="C4" s="12" t="s">
        <v>186</v>
      </c>
      <c r="D4" s="5">
        <v>28688771</v>
      </c>
      <c r="E4" s="4">
        <v>1</v>
      </c>
      <c r="F4" s="14">
        <v>1</v>
      </c>
      <c r="G4" s="6">
        <f t="shared" ref="G4:G6" si="0">E4-F4</f>
        <v>0</v>
      </c>
      <c r="H4" s="7">
        <v>46083</v>
      </c>
      <c r="I4" s="8" t="s">
        <v>177</v>
      </c>
      <c r="J4" s="9">
        <v>46084</v>
      </c>
      <c r="K4" s="4" t="s">
        <v>188</v>
      </c>
      <c r="L4" s="11"/>
    </row>
    <row r="5" spans="1:12" ht="28.5" x14ac:dyDescent="0.25">
      <c r="A5" s="4">
        <v>3</v>
      </c>
      <c r="B5" s="12">
        <v>908501008</v>
      </c>
      <c r="C5" s="11" t="s">
        <v>187</v>
      </c>
      <c r="D5" s="5">
        <v>28688771</v>
      </c>
      <c r="E5" s="4">
        <v>3</v>
      </c>
      <c r="F5" s="14">
        <v>3</v>
      </c>
      <c r="G5" s="6">
        <f t="shared" si="0"/>
        <v>0</v>
      </c>
      <c r="H5" s="7">
        <v>46083</v>
      </c>
      <c r="I5" s="8" t="s">
        <v>177</v>
      </c>
      <c r="J5" s="9">
        <v>46091</v>
      </c>
      <c r="K5" s="4" t="s">
        <v>188</v>
      </c>
      <c r="L5" s="11"/>
    </row>
    <row r="6" spans="1:12" ht="28.5" x14ac:dyDescent="0.25">
      <c r="A6" s="4">
        <v>4</v>
      </c>
      <c r="B6" s="10">
        <v>908111010</v>
      </c>
      <c r="C6" s="11" t="s">
        <v>189</v>
      </c>
      <c r="D6" s="5">
        <v>28688771</v>
      </c>
      <c r="E6" s="4">
        <v>20</v>
      </c>
      <c r="F6" s="14">
        <v>20</v>
      </c>
      <c r="G6" s="6">
        <f t="shared" si="0"/>
        <v>0</v>
      </c>
      <c r="H6" s="7">
        <v>46125</v>
      </c>
      <c r="I6" s="8" t="s">
        <v>177</v>
      </c>
      <c r="J6" s="9">
        <v>46091</v>
      </c>
      <c r="K6" s="4" t="s">
        <v>188</v>
      </c>
      <c r="L6" s="11"/>
    </row>
    <row r="7" spans="1:12" ht="28.5" x14ac:dyDescent="0.25">
      <c r="A7" s="4"/>
      <c r="B7" s="10"/>
      <c r="C7" s="11"/>
      <c r="D7" s="5"/>
      <c r="E7" s="4"/>
      <c r="F7" s="14"/>
      <c r="G7" s="6"/>
      <c r="H7" s="7"/>
      <c r="I7" s="8"/>
      <c r="J7" s="9"/>
      <c r="K7" s="4"/>
      <c r="L7" s="11"/>
    </row>
    <row r="8" spans="1:12" ht="28.5" x14ac:dyDescent="0.25">
      <c r="A8" s="4"/>
      <c r="B8" s="10"/>
      <c r="C8" s="11"/>
      <c r="D8" s="5"/>
      <c r="E8" s="4"/>
      <c r="F8" s="14"/>
      <c r="G8" s="6"/>
      <c r="H8" s="7"/>
      <c r="I8" s="8"/>
      <c r="J8" s="9"/>
      <c r="K8" s="4"/>
      <c r="L8" s="11"/>
    </row>
    <row r="9" spans="1:12" ht="28.5" x14ac:dyDescent="0.25">
      <c r="A9" s="4"/>
      <c r="B9" s="10"/>
      <c r="C9" s="11"/>
      <c r="D9" s="5"/>
      <c r="E9" s="4"/>
      <c r="F9" s="14"/>
      <c r="G9" s="6"/>
      <c r="H9" s="7"/>
      <c r="I9" s="8"/>
      <c r="J9" s="9"/>
      <c r="K9" s="4"/>
      <c r="L9" s="11"/>
    </row>
    <row r="10" spans="1:12" ht="28.5" x14ac:dyDescent="0.25">
      <c r="A10" s="4"/>
      <c r="B10" s="10"/>
      <c r="C10" s="11"/>
      <c r="D10" s="5"/>
      <c r="E10" s="4"/>
      <c r="F10" s="14"/>
      <c r="G10" s="6"/>
      <c r="H10" s="7"/>
      <c r="I10" s="8"/>
      <c r="J10" s="9"/>
      <c r="K10" s="4"/>
      <c r="L10" s="11"/>
    </row>
    <row r="11" spans="1:12" ht="28.5" x14ac:dyDescent="0.25">
      <c r="A11" s="4"/>
      <c r="B11" s="10"/>
      <c r="C11" s="11"/>
      <c r="D11" s="5"/>
      <c r="E11" s="4"/>
      <c r="F11" s="14"/>
      <c r="G11" s="6"/>
      <c r="H11" s="7"/>
      <c r="I11" s="8"/>
      <c r="J11" s="9"/>
      <c r="K11" s="4"/>
      <c r="L11" s="11"/>
    </row>
    <row r="12" spans="1:12" ht="28.5" x14ac:dyDescent="0.25">
      <c r="A12" s="4"/>
      <c r="B12" s="10"/>
      <c r="C12" s="11"/>
      <c r="D12" s="5"/>
      <c r="E12" s="4"/>
      <c r="F12" s="14"/>
      <c r="G12" s="6"/>
      <c r="H12" s="7"/>
      <c r="I12" s="8"/>
      <c r="J12" s="9"/>
      <c r="K12" s="4"/>
      <c r="L12" s="11"/>
    </row>
    <row r="13" spans="1:12" ht="28.5" x14ac:dyDescent="0.25">
      <c r="A13" s="4"/>
      <c r="B13" s="10"/>
      <c r="C13" s="11"/>
      <c r="D13" s="5"/>
      <c r="E13" s="4"/>
      <c r="F13" s="14"/>
      <c r="G13" s="6"/>
      <c r="H13" s="7"/>
      <c r="I13" s="8"/>
      <c r="J13" s="9"/>
      <c r="K13" s="4"/>
      <c r="L13" s="11"/>
    </row>
    <row r="14" spans="1:12" ht="28.5" x14ac:dyDescent="0.25">
      <c r="A14" s="4"/>
      <c r="B14" s="10"/>
      <c r="C14" s="11"/>
      <c r="D14" s="5"/>
      <c r="E14" s="4"/>
      <c r="F14" s="14"/>
      <c r="G14" s="6"/>
      <c r="H14" s="7"/>
      <c r="I14" s="8"/>
      <c r="J14" s="9"/>
      <c r="K14" s="4"/>
      <c r="L14" s="11"/>
    </row>
    <row r="15" spans="1:12" ht="28.5" x14ac:dyDescent="0.25">
      <c r="A15" s="4"/>
      <c r="B15" s="10"/>
      <c r="C15" s="11"/>
      <c r="D15" s="5"/>
      <c r="E15" s="4"/>
      <c r="F15" s="14"/>
      <c r="G15" s="6"/>
      <c r="H15" s="7"/>
      <c r="I15" s="8"/>
      <c r="J15" s="9"/>
      <c r="K15" s="4"/>
      <c r="L15" s="11"/>
    </row>
    <row r="16" spans="1:12" ht="28.5" x14ac:dyDescent="0.25">
      <c r="A16" s="4"/>
      <c r="B16" s="10"/>
      <c r="C16" s="11"/>
      <c r="D16" s="5"/>
      <c r="E16" s="4"/>
      <c r="F16" s="14"/>
      <c r="G16" s="6"/>
      <c r="H16" s="7"/>
      <c r="I16" s="8"/>
      <c r="J16" s="9"/>
      <c r="K16" s="4"/>
      <c r="L16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1114-F206-483D-B512-CECA25C9C005}">
  <dimension ref="A1:L14"/>
  <sheetViews>
    <sheetView zoomScale="78" zoomScaleNormal="78" workbookViewId="0">
      <selection activeCell="B5" sqref="B5:C5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183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28609213</v>
      </c>
      <c r="E3" s="4">
        <v>77</v>
      </c>
      <c r="F3" s="14">
        <v>73</v>
      </c>
      <c r="G3" s="6">
        <f>E3-F3</f>
        <v>4</v>
      </c>
      <c r="H3" s="7">
        <v>46078</v>
      </c>
      <c r="I3" s="8" t="s">
        <v>13</v>
      </c>
      <c r="J3" s="9">
        <v>46084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>
        <v>28609213</v>
      </c>
      <c r="E4" s="4">
        <v>25</v>
      </c>
      <c r="F4" s="14">
        <v>25</v>
      </c>
      <c r="G4" s="6">
        <f>E4-F4</f>
        <v>0</v>
      </c>
      <c r="H4" s="7">
        <v>46078</v>
      </c>
      <c r="I4" s="8" t="s">
        <v>13</v>
      </c>
      <c r="J4" s="9">
        <v>46084</v>
      </c>
      <c r="K4" s="4" t="s">
        <v>116</v>
      </c>
      <c r="L4" s="11"/>
    </row>
    <row r="5" spans="1:12" ht="28.5" x14ac:dyDescent="0.25">
      <c r="A5" s="4">
        <v>3</v>
      </c>
      <c r="B5" s="10" t="s">
        <v>16</v>
      </c>
      <c r="C5" s="11" t="s">
        <v>19</v>
      </c>
      <c r="D5" s="5">
        <v>28609213</v>
      </c>
      <c r="E5" s="4">
        <v>2</v>
      </c>
      <c r="F5" s="14">
        <v>2</v>
      </c>
      <c r="G5" s="6">
        <f t="shared" ref="G5:G13" si="0">E5-F5</f>
        <v>0</v>
      </c>
      <c r="H5" s="7">
        <v>46076</v>
      </c>
      <c r="I5" s="8" t="s">
        <v>13</v>
      </c>
      <c r="J5" s="9">
        <v>46084</v>
      </c>
      <c r="K5" s="4" t="s">
        <v>116</v>
      </c>
      <c r="L5" s="11"/>
    </row>
    <row r="6" spans="1:12" ht="28.5" x14ac:dyDescent="0.25">
      <c r="A6" s="4">
        <v>4</v>
      </c>
      <c r="B6" s="10">
        <v>908121008</v>
      </c>
      <c r="C6" s="11" t="s">
        <v>14</v>
      </c>
      <c r="D6" s="5">
        <v>28609213</v>
      </c>
      <c r="E6" s="4">
        <v>1</v>
      </c>
      <c r="F6" s="14">
        <v>1</v>
      </c>
      <c r="G6" s="6">
        <f t="shared" si="0"/>
        <v>0</v>
      </c>
      <c r="H6" s="7">
        <v>46076</v>
      </c>
      <c r="I6" s="8" t="s">
        <v>13</v>
      </c>
      <c r="J6" s="9">
        <v>46084</v>
      </c>
      <c r="K6" s="4" t="s">
        <v>116</v>
      </c>
      <c r="L6" s="11"/>
    </row>
    <row r="7" spans="1:12" ht="52.5" x14ac:dyDescent="0.25">
      <c r="A7" s="4">
        <v>5</v>
      </c>
      <c r="B7" s="10">
        <v>908121010</v>
      </c>
      <c r="C7" s="11" t="s">
        <v>22</v>
      </c>
      <c r="D7" s="5">
        <v>28609213</v>
      </c>
      <c r="E7" s="4">
        <v>2</v>
      </c>
      <c r="F7" s="14">
        <f>1+1</f>
        <v>2</v>
      </c>
      <c r="G7" s="6">
        <f t="shared" si="0"/>
        <v>0</v>
      </c>
      <c r="H7" s="7">
        <v>46076</v>
      </c>
      <c r="I7" s="8" t="s">
        <v>13</v>
      </c>
      <c r="J7" s="24" t="s">
        <v>208</v>
      </c>
      <c r="K7" s="4" t="s">
        <v>116</v>
      </c>
      <c r="L7" s="11"/>
    </row>
    <row r="8" spans="1:12" ht="28.5" x14ac:dyDescent="0.25">
      <c r="A8" s="4">
        <v>6</v>
      </c>
      <c r="B8" s="10">
        <v>908122011</v>
      </c>
      <c r="C8" s="11" t="s">
        <v>55</v>
      </c>
      <c r="D8" s="5">
        <v>28609213</v>
      </c>
      <c r="E8" s="4">
        <v>3</v>
      </c>
      <c r="F8" s="14">
        <v>3</v>
      </c>
      <c r="G8" s="6">
        <f t="shared" si="0"/>
        <v>0</v>
      </c>
      <c r="H8" s="7">
        <v>46076</v>
      </c>
      <c r="I8" s="8" t="s">
        <v>13</v>
      </c>
      <c r="J8" s="9">
        <v>46092</v>
      </c>
      <c r="K8" s="4" t="s">
        <v>116</v>
      </c>
      <c r="L8" s="11"/>
    </row>
    <row r="9" spans="1:12" ht="28.5" x14ac:dyDescent="0.25">
      <c r="A9" s="4">
        <v>7</v>
      </c>
      <c r="B9" s="10">
        <v>908202098</v>
      </c>
      <c r="C9" s="11" t="s">
        <v>20</v>
      </c>
      <c r="D9" s="5">
        <v>28609213</v>
      </c>
      <c r="E9" s="4">
        <v>2</v>
      </c>
      <c r="F9" s="14">
        <v>2</v>
      </c>
      <c r="G9" s="6">
        <f t="shared" si="0"/>
        <v>0</v>
      </c>
      <c r="H9" s="7">
        <v>46076</v>
      </c>
      <c r="I9" s="8" t="s">
        <v>13</v>
      </c>
      <c r="J9" s="9">
        <v>46084</v>
      </c>
      <c r="K9" s="4" t="s">
        <v>116</v>
      </c>
      <c r="L9" s="11"/>
    </row>
    <row r="10" spans="1:12" ht="28.5" x14ac:dyDescent="0.25">
      <c r="A10" s="4">
        <v>8</v>
      </c>
      <c r="B10" s="10">
        <v>908111101</v>
      </c>
      <c r="C10" s="11" t="s">
        <v>47</v>
      </c>
      <c r="D10" s="5">
        <v>28609213</v>
      </c>
      <c r="E10" s="4">
        <v>6</v>
      </c>
      <c r="F10" s="14">
        <v>6</v>
      </c>
      <c r="G10" s="6">
        <f t="shared" si="0"/>
        <v>0</v>
      </c>
      <c r="H10" s="7">
        <v>46076</v>
      </c>
      <c r="I10" s="8" t="s">
        <v>13</v>
      </c>
      <c r="J10" s="9">
        <v>46084</v>
      </c>
      <c r="K10" s="4" t="s">
        <v>116</v>
      </c>
      <c r="L10" s="11"/>
    </row>
    <row r="11" spans="1:12" ht="28.5" x14ac:dyDescent="0.25">
      <c r="A11" s="4">
        <v>9</v>
      </c>
      <c r="B11" s="10">
        <v>908202030</v>
      </c>
      <c r="C11" s="11" t="s">
        <v>15</v>
      </c>
      <c r="D11" s="5">
        <v>28609213</v>
      </c>
      <c r="E11" s="4">
        <v>2</v>
      </c>
      <c r="F11" s="14">
        <v>2</v>
      </c>
      <c r="G11" s="6">
        <f t="shared" si="0"/>
        <v>0</v>
      </c>
      <c r="H11" s="7">
        <v>46076</v>
      </c>
      <c r="I11" s="8" t="s">
        <v>13</v>
      </c>
      <c r="J11" s="9">
        <v>46084</v>
      </c>
      <c r="K11" s="4" t="s">
        <v>116</v>
      </c>
      <c r="L11" s="11"/>
    </row>
    <row r="12" spans="1:12" ht="28.5" x14ac:dyDescent="0.25">
      <c r="A12" s="4">
        <v>10</v>
      </c>
      <c r="B12" s="10">
        <v>908312027</v>
      </c>
      <c r="C12" s="11" t="s">
        <v>33</v>
      </c>
      <c r="D12" s="5">
        <v>28609213</v>
      </c>
      <c r="E12" s="4">
        <v>1</v>
      </c>
      <c r="F12" s="14">
        <v>1</v>
      </c>
      <c r="G12" s="6">
        <f t="shared" si="0"/>
        <v>0</v>
      </c>
      <c r="H12" s="7">
        <v>46076</v>
      </c>
      <c r="I12" s="8" t="s">
        <v>13</v>
      </c>
      <c r="J12" s="9">
        <v>46084</v>
      </c>
      <c r="K12" s="4" t="s">
        <v>116</v>
      </c>
      <c r="L12" s="11"/>
    </row>
    <row r="13" spans="1:12" ht="28.5" x14ac:dyDescent="0.25">
      <c r="A13" s="4">
        <v>11</v>
      </c>
      <c r="B13" s="10">
        <v>908020201</v>
      </c>
      <c r="C13" s="11" t="s">
        <v>12</v>
      </c>
      <c r="D13" s="5">
        <v>28609213</v>
      </c>
      <c r="E13" s="4">
        <v>1</v>
      </c>
      <c r="F13" s="14"/>
      <c r="G13" s="6">
        <f t="shared" si="0"/>
        <v>1</v>
      </c>
      <c r="H13" s="7">
        <v>46076</v>
      </c>
      <c r="I13" s="8" t="s">
        <v>13</v>
      </c>
      <c r="J13" s="9"/>
      <c r="K13" s="4"/>
      <c r="L13" s="11"/>
    </row>
    <row r="14" spans="1:12" ht="28.5" x14ac:dyDescent="0.25">
      <c r="A14" s="4"/>
      <c r="B14" s="10"/>
      <c r="C14" s="11"/>
      <c r="D14" s="5"/>
      <c r="E14" s="4"/>
      <c r="F14" s="14"/>
      <c r="G14" s="6"/>
      <c r="H14" s="7"/>
      <c r="I14" s="8"/>
      <c r="J14" s="9"/>
      <c r="K14" s="4"/>
      <c r="L14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4AE6-00DA-4945-BEC4-5453D8D83239}">
  <dimension ref="A1:L12"/>
  <sheetViews>
    <sheetView zoomScale="78" zoomScaleNormal="78" workbookViewId="0">
      <selection activeCell="E16" sqref="E16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181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/>
      <c r="E3" s="4">
        <v>56</v>
      </c>
      <c r="F3" s="14">
        <v>56</v>
      </c>
      <c r="G3" s="6">
        <f t="shared" ref="G3:G12" si="0">E3-F3</f>
        <v>0</v>
      </c>
      <c r="H3" s="7">
        <v>46078</v>
      </c>
      <c r="I3" s="8" t="s">
        <v>177</v>
      </c>
      <c r="J3" s="9">
        <v>46081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/>
      <c r="E4" s="4">
        <v>1</v>
      </c>
      <c r="F4" s="14">
        <v>1</v>
      </c>
      <c r="G4" s="6">
        <f t="shared" si="0"/>
        <v>0</v>
      </c>
      <c r="H4" s="7">
        <v>46089</v>
      </c>
      <c r="I4" s="8" t="s">
        <v>177</v>
      </c>
      <c r="J4" s="9">
        <v>46082</v>
      </c>
      <c r="K4" s="4" t="s">
        <v>116</v>
      </c>
      <c r="L4" s="11"/>
    </row>
    <row r="5" spans="1:12" ht="28.5" x14ac:dyDescent="0.25">
      <c r="A5" s="4">
        <v>3</v>
      </c>
      <c r="B5" s="10">
        <v>908421025</v>
      </c>
      <c r="C5" s="11" t="s">
        <v>59</v>
      </c>
      <c r="D5" s="5">
        <v>28951782</v>
      </c>
      <c r="E5" s="4">
        <v>1</v>
      </c>
      <c r="F5" s="14">
        <v>1</v>
      </c>
      <c r="G5" s="6">
        <f t="shared" si="0"/>
        <v>0</v>
      </c>
      <c r="H5" s="7">
        <v>46127</v>
      </c>
      <c r="I5" s="8" t="s">
        <v>177</v>
      </c>
      <c r="J5" s="9">
        <v>46128</v>
      </c>
      <c r="K5" s="4" t="s">
        <v>116</v>
      </c>
      <c r="L5" s="11"/>
    </row>
    <row r="6" spans="1:12" ht="28.5" x14ac:dyDescent="0.25">
      <c r="A6" s="4">
        <v>4</v>
      </c>
      <c r="B6" s="10">
        <v>908202189</v>
      </c>
      <c r="C6" s="11" t="s">
        <v>18</v>
      </c>
      <c r="D6" s="5">
        <v>28951782</v>
      </c>
      <c r="E6" s="4">
        <v>1</v>
      </c>
      <c r="F6" s="14">
        <v>1</v>
      </c>
      <c r="G6" s="6">
        <f t="shared" si="0"/>
        <v>0</v>
      </c>
      <c r="H6" s="7">
        <v>46127</v>
      </c>
      <c r="I6" s="8" t="s">
        <v>177</v>
      </c>
      <c r="J6" s="9">
        <v>46128</v>
      </c>
      <c r="K6" s="4" t="s">
        <v>116</v>
      </c>
      <c r="L6" s="11"/>
    </row>
    <row r="7" spans="1:12" ht="28.5" x14ac:dyDescent="0.25">
      <c r="A7" s="4">
        <v>5</v>
      </c>
      <c r="B7" s="10">
        <v>908020201</v>
      </c>
      <c r="C7" s="11" t="s">
        <v>12</v>
      </c>
      <c r="D7" s="5">
        <v>28951782</v>
      </c>
      <c r="E7" s="4">
        <v>1</v>
      </c>
      <c r="F7" s="14"/>
      <c r="G7" s="6">
        <f t="shared" si="0"/>
        <v>1</v>
      </c>
      <c r="H7" s="7">
        <v>46127</v>
      </c>
      <c r="I7" s="8" t="s">
        <v>177</v>
      </c>
      <c r="J7" s="9"/>
      <c r="K7" s="4"/>
      <c r="L7" s="11"/>
    </row>
    <row r="8" spans="1:12" ht="28.5" x14ac:dyDescent="0.25">
      <c r="A8" s="4">
        <v>6</v>
      </c>
      <c r="B8" s="10">
        <v>908402208</v>
      </c>
      <c r="C8" s="11" t="s">
        <v>58</v>
      </c>
      <c r="D8" s="5">
        <v>28951782</v>
      </c>
      <c r="E8" s="4">
        <v>1</v>
      </c>
      <c r="F8" s="14">
        <v>1</v>
      </c>
      <c r="G8" s="6">
        <f t="shared" si="0"/>
        <v>0</v>
      </c>
      <c r="H8" s="7">
        <v>46127</v>
      </c>
      <c r="I8" s="8" t="s">
        <v>177</v>
      </c>
      <c r="J8" s="9">
        <v>46128</v>
      </c>
      <c r="K8" s="4" t="s">
        <v>116</v>
      </c>
      <c r="L8" s="11"/>
    </row>
    <row r="9" spans="1:12" ht="28.5" x14ac:dyDescent="0.25">
      <c r="A9" s="4">
        <v>7</v>
      </c>
      <c r="B9" s="10" t="s">
        <v>16</v>
      </c>
      <c r="C9" s="11" t="s">
        <v>19</v>
      </c>
      <c r="D9" s="5">
        <v>28951782</v>
      </c>
      <c r="E9" s="4">
        <v>1</v>
      </c>
      <c r="F9" s="14">
        <v>1</v>
      </c>
      <c r="G9" s="6">
        <f t="shared" si="0"/>
        <v>0</v>
      </c>
      <c r="H9" s="7">
        <v>46127</v>
      </c>
      <c r="I9" s="8" t="s">
        <v>177</v>
      </c>
      <c r="J9" s="9">
        <v>46128</v>
      </c>
      <c r="K9" s="4" t="s">
        <v>116</v>
      </c>
      <c r="L9" s="11"/>
    </row>
    <row r="10" spans="1:12" ht="28.5" x14ac:dyDescent="0.25">
      <c r="A10" s="4">
        <v>8</v>
      </c>
      <c r="B10" s="10">
        <v>908111101</v>
      </c>
      <c r="C10" s="11" t="s">
        <v>47</v>
      </c>
      <c r="D10" s="5">
        <v>28951782</v>
      </c>
      <c r="E10" s="4">
        <v>2</v>
      </c>
      <c r="F10" s="14">
        <v>2</v>
      </c>
      <c r="G10" s="6">
        <f t="shared" si="0"/>
        <v>0</v>
      </c>
      <c r="H10" s="7"/>
      <c r="I10" s="8"/>
      <c r="J10" s="9">
        <v>46128</v>
      </c>
      <c r="K10" s="4" t="s">
        <v>116</v>
      </c>
      <c r="L10" s="11"/>
    </row>
    <row r="11" spans="1:12" ht="28.5" x14ac:dyDescent="0.25">
      <c r="A11" s="4">
        <v>9</v>
      </c>
      <c r="B11" s="10">
        <v>908371003</v>
      </c>
      <c r="C11" s="11" t="s">
        <v>272</v>
      </c>
      <c r="D11" s="5">
        <v>28951782</v>
      </c>
      <c r="E11" s="4">
        <v>1</v>
      </c>
      <c r="F11" s="14">
        <v>1</v>
      </c>
      <c r="G11" s="6">
        <f t="shared" si="0"/>
        <v>0</v>
      </c>
      <c r="H11" s="7">
        <v>46127</v>
      </c>
      <c r="I11" s="8" t="s">
        <v>177</v>
      </c>
      <c r="J11" s="9">
        <v>46128</v>
      </c>
      <c r="K11" s="4" t="s">
        <v>116</v>
      </c>
      <c r="L11" s="11"/>
    </row>
    <row r="12" spans="1:12" ht="28.5" x14ac:dyDescent="0.25">
      <c r="A12" s="4">
        <v>10</v>
      </c>
      <c r="B12" s="10">
        <v>908202030</v>
      </c>
      <c r="C12" s="11" t="s">
        <v>15</v>
      </c>
      <c r="D12" s="5">
        <v>28951782</v>
      </c>
      <c r="E12" s="4">
        <v>1</v>
      </c>
      <c r="F12" s="14"/>
      <c r="G12" s="6">
        <f t="shared" si="0"/>
        <v>1</v>
      </c>
      <c r="H12" s="7">
        <v>46127</v>
      </c>
      <c r="I12" s="8" t="s">
        <v>177</v>
      </c>
      <c r="J12" s="9">
        <v>46128</v>
      </c>
      <c r="K12" s="4" t="s">
        <v>116</v>
      </c>
      <c r="L12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16B0-5253-4E99-9E3A-FB384663B0E5}">
  <dimension ref="A1:L13"/>
  <sheetViews>
    <sheetView zoomScale="78" zoomScaleNormal="78" workbookViewId="0">
      <selection activeCell="B13" sqref="B13:C13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/>
      <c r="E3" s="4"/>
      <c r="F3" s="14">
        <v>27</v>
      </c>
      <c r="G3" s="6">
        <f t="shared" ref="G3:G12" si="0">E3-F3</f>
        <v>-27</v>
      </c>
      <c r="H3" s="7"/>
      <c r="I3" s="8"/>
      <c r="J3" s="9">
        <v>46078</v>
      </c>
      <c r="K3" s="4" t="s">
        <v>116</v>
      </c>
      <c r="L3" s="11"/>
    </row>
    <row r="4" spans="1:12" ht="28.5" x14ac:dyDescent="0.25">
      <c r="A4" s="4">
        <v>2</v>
      </c>
      <c r="B4" s="10" t="s">
        <v>16</v>
      </c>
      <c r="C4" s="11" t="s">
        <v>19</v>
      </c>
      <c r="D4" s="5">
        <v>28569134</v>
      </c>
      <c r="E4" s="4">
        <v>2</v>
      </c>
      <c r="F4" s="14">
        <v>2</v>
      </c>
      <c r="G4" s="6">
        <f t="shared" si="0"/>
        <v>0</v>
      </c>
      <c r="H4" s="7">
        <v>46065</v>
      </c>
      <c r="I4" s="8" t="s">
        <v>177</v>
      </c>
      <c r="J4" s="9">
        <v>46078</v>
      </c>
      <c r="K4" s="4" t="s">
        <v>116</v>
      </c>
      <c r="L4" s="11"/>
    </row>
    <row r="5" spans="1:12" ht="28.5" x14ac:dyDescent="0.25">
      <c r="A5" s="4">
        <v>3</v>
      </c>
      <c r="B5" s="10">
        <v>908121008</v>
      </c>
      <c r="C5" s="11" t="s">
        <v>14</v>
      </c>
      <c r="D5" s="5">
        <v>28569134</v>
      </c>
      <c r="E5" s="4">
        <v>1</v>
      </c>
      <c r="F5" s="14"/>
      <c r="G5" s="6">
        <f t="shared" si="0"/>
        <v>1</v>
      </c>
      <c r="H5" s="7">
        <v>46065</v>
      </c>
      <c r="I5" s="8"/>
      <c r="J5" s="9"/>
      <c r="K5" s="4"/>
      <c r="L5" s="11"/>
    </row>
    <row r="6" spans="1:12" ht="52.5" x14ac:dyDescent="0.25">
      <c r="A6" s="4">
        <v>4</v>
      </c>
      <c r="B6" s="10">
        <v>908121010</v>
      </c>
      <c r="C6" s="11" t="s">
        <v>22</v>
      </c>
      <c r="D6" s="5">
        <v>28569134</v>
      </c>
      <c r="E6" s="4">
        <v>2</v>
      </c>
      <c r="F6" s="14">
        <f>1+1</f>
        <v>2</v>
      </c>
      <c r="G6" s="6">
        <f t="shared" si="0"/>
        <v>0</v>
      </c>
      <c r="H6" s="7">
        <v>46065</v>
      </c>
      <c r="I6" s="8" t="s">
        <v>177</v>
      </c>
      <c r="J6" s="24" t="s">
        <v>180</v>
      </c>
      <c r="K6" s="4" t="s">
        <v>116</v>
      </c>
      <c r="L6" s="11"/>
    </row>
    <row r="7" spans="1:12" ht="28.5" x14ac:dyDescent="0.25">
      <c r="A7" s="4">
        <v>5</v>
      </c>
      <c r="B7" s="10">
        <v>908122011</v>
      </c>
      <c r="C7" s="11" t="s">
        <v>55</v>
      </c>
      <c r="D7" s="5"/>
      <c r="E7" s="4"/>
      <c r="F7" s="14">
        <v>3</v>
      </c>
      <c r="G7" s="6">
        <f t="shared" si="0"/>
        <v>-3</v>
      </c>
      <c r="H7" s="7"/>
      <c r="I7" s="8"/>
      <c r="J7" s="9">
        <v>46081</v>
      </c>
      <c r="K7" s="4" t="s">
        <v>116</v>
      </c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28569134</v>
      </c>
      <c r="E8" s="4">
        <v>2</v>
      </c>
      <c r="F8" s="14">
        <v>2</v>
      </c>
      <c r="G8" s="6">
        <f t="shared" si="0"/>
        <v>0</v>
      </c>
      <c r="H8" s="7"/>
      <c r="I8" s="8"/>
      <c r="J8" s="9">
        <v>46078</v>
      </c>
      <c r="K8" s="4" t="s">
        <v>116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/>
      <c r="E9" s="4"/>
      <c r="F9" s="14">
        <v>6</v>
      </c>
      <c r="G9" s="6">
        <f t="shared" si="0"/>
        <v>-6</v>
      </c>
      <c r="H9" s="7"/>
      <c r="I9" s="8"/>
      <c r="J9" s="9">
        <v>46078</v>
      </c>
      <c r="K9" s="4" t="s">
        <v>116</v>
      </c>
      <c r="L9" s="11"/>
    </row>
    <row r="10" spans="1:12" ht="28.5" x14ac:dyDescent="0.25">
      <c r="A10" s="4">
        <v>8</v>
      </c>
      <c r="B10" s="10">
        <v>908202030</v>
      </c>
      <c r="C10" s="11" t="s">
        <v>15</v>
      </c>
      <c r="D10" s="5">
        <v>28569134</v>
      </c>
      <c r="E10" s="4">
        <v>2</v>
      </c>
      <c r="F10" s="14">
        <v>2</v>
      </c>
      <c r="G10" s="6">
        <f t="shared" si="0"/>
        <v>0</v>
      </c>
      <c r="H10" s="7">
        <v>46065</v>
      </c>
      <c r="I10" s="8" t="s">
        <v>177</v>
      </c>
      <c r="J10" s="9">
        <v>46078</v>
      </c>
      <c r="K10" s="4" t="s">
        <v>116</v>
      </c>
      <c r="L10" s="11"/>
    </row>
    <row r="11" spans="1:12" ht="28.5" x14ac:dyDescent="0.25">
      <c r="A11" s="4">
        <v>9</v>
      </c>
      <c r="B11" s="10">
        <v>908312027</v>
      </c>
      <c r="C11" s="11" t="s">
        <v>33</v>
      </c>
      <c r="D11" s="5">
        <v>28569134</v>
      </c>
      <c r="E11" s="4">
        <v>1</v>
      </c>
      <c r="F11" s="14">
        <v>1</v>
      </c>
      <c r="G11" s="6">
        <f t="shared" si="0"/>
        <v>0</v>
      </c>
      <c r="H11" s="7">
        <v>46076</v>
      </c>
      <c r="I11" s="8" t="s">
        <v>177</v>
      </c>
      <c r="J11" s="9">
        <v>46078</v>
      </c>
      <c r="K11" s="4" t="s">
        <v>116</v>
      </c>
      <c r="L11" s="11"/>
    </row>
    <row r="12" spans="1:12" ht="28.5" x14ac:dyDescent="0.25">
      <c r="A12" s="4">
        <v>10</v>
      </c>
      <c r="B12" s="10">
        <v>908121009</v>
      </c>
      <c r="C12" s="11" t="s">
        <v>178</v>
      </c>
      <c r="D12" s="5">
        <v>28569134</v>
      </c>
      <c r="E12" s="4">
        <v>1</v>
      </c>
      <c r="F12" s="14">
        <v>1</v>
      </c>
      <c r="G12" s="6">
        <f t="shared" si="0"/>
        <v>0</v>
      </c>
      <c r="H12" s="7">
        <v>46065</v>
      </c>
      <c r="I12" s="8" t="s">
        <v>177</v>
      </c>
      <c r="J12" s="9">
        <v>46078</v>
      </c>
      <c r="K12" s="4" t="s">
        <v>116</v>
      </c>
      <c r="L12" s="11"/>
    </row>
    <row r="13" spans="1:12" ht="28.5" x14ac:dyDescent="0.25">
      <c r="A13" s="4">
        <v>11</v>
      </c>
      <c r="B13" s="19">
        <v>908111006</v>
      </c>
      <c r="C13" s="11" t="s">
        <v>60</v>
      </c>
      <c r="D13" s="5"/>
      <c r="E13" s="4"/>
      <c r="F13" s="14">
        <v>16</v>
      </c>
      <c r="G13" s="6"/>
      <c r="H13" s="7"/>
      <c r="I13" s="8"/>
      <c r="J13" s="9">
        <v>46078</v>
      </c>
      <c r="K13" s="4" t="s">
        <v>116</v>
      </c>
      <c r="L13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0BB4-22F7-4D35-8149-B0BF2194533F}">
  <dimension ref="A1:L19"/>
  <sheetViews>
    <sheetView zoomScale="78" zoomScaleNormal="78" workbookViewId="0">
      <selection activeCell="I23" sqref="I23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172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/>
      <c r="E3" s="4"/>
      <c r="F3" s="14">
        <v>55</v>
      </c>
      <c r="G3" s="6">
        <f>E3-F3</f>
        <v>-55</v>
      </c>
      <c r="H3" s="7">
        <v>46070</v>
      </c>
      <c r="I3" s="8" t="s">
        <v>13</v>
      </c>
      <c r="J3" s="9">
        <v>46076</v>
      </c>
      <c r="K3" s="4" t="s">
        <v>116</v>
      </c>
      <c r="L3" s="11"/>
    </row>
    <row r="4" spans="1:12" ht="28.5" x14ac:dyDescent="0.25">
      <c r="A4" s="4">
        <v>2</v>
      </c>
      <c r="B4" s="10" t="s">
        <v>52</v>
      </c>
      <c r="C4" s="11" t="s">
        <v>53</v>
      </c>
      <c r="D4" s="5"/>
      <c r="E4" s="4"/>
      <c r="F4" s="14">
        <v>27</v>
      </c>
      <c r="G4" s="6">
        <f t="shared" ref="G4:G19" si="0">E4-F4</f>
        <v>-27</v>
      </c>
      <c r="H4" s="7">
        <v>46070</v>
      </c>
      <c r="I4" s="8" t="s">
        <v>13</v>
      </c>
      <c r="J4" s="9">
        <v>46076</v>
      </c>
      <c r="K4" s="4" t="s">
        <v>116</v>
      </c>
      <c r="L4" s="11"/>
    </row>
    <row r="5" spans="1:12" ht="52.5" x14ac:dyDescent="0.25">
      <c r="A5" s="4">
        <v>3</v>
      </c>
      <c r="B5" s="10" t="s">
        <v>16</v>
      </c>
      <c r="C5" s="11" t="s">
        <v>19</v>
      </c>
      <c r="D5" s="5"/>
      <c r="E5" s="4">
        <f>2+2</f>
        <v>4</v>
      </c>
      <c r="F5" s="14">
        <f>2+3</f>
        <v>5</v>
      </c>
      <c r="G5" s="6">
        <f t="shared" si="0"/>
        <v>-1</v>
      </c>
      <c r="H5" s="7" t="s">
        <v>237</v>
      </c>
      <c r="I5" s="8" t="s">
        <v>13</v>
      </c>
      <c r="J5" s="24" t="s">
        <v>242</v>
      </c>
      <c r="K5" s="4" t="s">
        <v>116</v>
      </c>
      <c r="L5" s="11"/>
    </row>
    <row r="6" spans="1:12" ht="28.5" x14ac:dyDescent="0.25">
      <c r="A6" s="4">
        <v>4</v>
      </c>
      <c r="B6" s="10">
        <v>908121008</v>
      </c>
      <c r="C6" s="11" t="s">
        <v>14</v>
      </c>
      <c r="D6" s="5"/>
      <c r="E6" s="4">
        <v>2</v>
      </c>
      <c r="F6" s="14">
        <v>2</v>
      </c>
      <c r="G6" s="6">
        <f t="shared" si="0"/>
        <v>0</v>
      </c>
      <c r="H6" s="7">
        <v>46089</v>
      </c>
      <c r="I6" s="8" t="s">
        <v>13</v>
      </c>
      <c r="J6" s="9">
        <v>46076</v>
      </c>
      <c r="K6" s="4" t="s">
        <v>116</v>
      </c>
      <c r="L6" s="11"/>
    </row>
    <row r="7" spans="1:12" ht="52.5" x14ac:dyDescent="0.25">
      <c r="A7" s="4">
        <v>5</v>
      </c>
      <c r="B7" s="10">
        <v>908121010</v>
      </c>
      <c r="C7" s="11" t="s">
        <v>22</v>
      </c>
      <c r="D7" s="5"/>
      <c r="E7" s="4">
        <v>2</v>
      </c>
      <c r="F7" s="14">
        <f>1+1</f>
        <v>2</v>
      </c>
      <c r="G7" s="6">
        <f t="shared" si="0"/>
        <v>0</v>
      </c>
      <c r="H7" s="7">
        <v>46089</v>
      </c>
      <c r="I7" s="8" t="s">
        <v>13</v>
      </c>
      <c r="J7" s="24" t="s">
        <v>182</v>
      </c>
      <c r="K7" s="4" t="s">
        <v>116</v>
      </c>
      <c r="L7" s="11"/>
    </row>
    <row r="8" spans="1:12" ht="28.5" x14ac:dyDescent="0.25">
      <c r="A8" s="4">
        <v>6</v>
      </c>
      <c r="B8" s="10">
        <v>908122011</v>
      </c>
      <c r="C8" s="11" t="s">
        <v>55</v>
      </c>
      <c r="D8" s="5"/>
      <c r="E8" s="4">
        <v>3</v>
      </c>
      <c r="F8" s="14">
        <v>3</v>
      </c>
      <c r="G8" s="6">
        <f t="shared" si="0"/>
        <v>0</v>
      </c>
      <c r="H8" s="7">
        <v>46089</v>
      </c>
      <c r="I8" s="8" t="s">
        <v>13</v>
      </c>
      <c r="J8" s="9">
        <v>46082</v>
      </c>
      <c r="K8" s="4" t="s">
        <v>116</v>
      </c>
      <c r="L8" s="11"/>
    </row>
    <row r="9" spans="1:12" ht="28.5" x14ac:dyDescent="0.25">
      <c r="A9" s="4">
        <v>7</v>
      </c>
      <c r="B9" s="10">
        <v>908202098</v>
      </c>
      <c r="C9" s="11" t="s">
        <v>20</v>
      </c>
      <c r="D9" s="5"/>
      <c r="E9" s="4">
        <v>2</v>
      </c>
      <c r="F9" s="14">
        <v>2</v>
      </c>
      <c r="G9" s="6">
        <f t="shared" si="0"/>
        <v>0</v>
      </c>
      <c r="H9" s="7">
        <v>46089</v>
      </c>
      <c r="I9" s="8" t="s">
        <v>13</v>
      </c>
      <c r="J9" s="9">
        <v>46076</v>
      </c>
      <c r="K9" s="4" t="s">
        <v>116</v>
      </c>
      <c r="L9" s="11"/>
    </row>
    <row r="10" spans="1:12" ht="52.5" x14ac:dyDescent="0.25">
      <c r="A10" s="4">
        <v>8</v>
      </c>
      <c r="B10" s="10">
        <v>908111101</v>
      </c>
      <c r="C10" s="11" t="s">
        <v>47</v>
      </c>
      <c r="D10" s="5"/>
      <c r="E10" s="4">
        <v>6</v>
      </c>
      <c r="F10" s="14">
        <f>6+6</f>
        <v>12</v>
      </c>
      <c r="G10" s="6">
        <f t="shared" si="0"/>
        <v>-6</v>
      </c>
      <c r="H10" s="7">
        <v>46070</v>
      </c>
      <c r="I10" s="8" t="s">
        <v>13</v>
      </c>
      <c r="J10" s="24" t="s">
        <v>242</v>
      </c>
      <c r="K10" s="4" t="s">
        <v>116</v>
      </c>
      <c r="L10" s="11"/>
    </row>
    <row r="11" spans="1:12" ht="42" x14ac:dyDescent="0.25">
      <c r="A11" s="4">
        <v>9</v>
      </c>
      <c r="B11" s="10">
        <v>908202030</v>
      </c>
      <c r="C11" s="11" t="s">
        <v>15</v>
      </c>
      <c r="D11" s="5">
        <v>28867860</v>
      </c>
      <c r="E11" s="4">
        <f>2+3</f>
        <v>5</v>
      </c>
      <c r="F11" s="14"/>
      <c r="G11" s="6">
        <f t="shared" si="0"/>
        <v>5</v>
      </c>
      <c r="H11" s="7" t="s">
        <v>237</v>
      </c>
      <c r="I11" s="8" t="s">
        <v>13</v>
      </c>
      <c r="J11" s="9"/>
      <c r="K11" s="4"/>
      <c r="L11" s="11"/>
    </row>
    <row r="12" spans="1:12" ht="28.5" x14ac:dyDescent="0.25">
      <c r="A12" s="4">
        <v>10</v>
      </c>
      <c r="B12" s="10">
        <v>908312027</v>
      </c>
      <c r="C12" s="11" t="s">
        <v>33</v>
      </c>
      <c r="D12" s="5"/>
      <c r="E12" s="4">
        <v>1</v>
      </c>
      <c r="F12" s="14">
        <v>1</v>
      </c>
      <c r="G12" s="6">
        <f t="shared" si="0"/>
        <v>0</v>
      </c>
      <c r="H12" s="7">
        <v>46089</v>
      </c>
      <c r="I12" s="8" t="s">
        <v>13</v>
      </c>
      <c r="J12" s="9">
        <v>46076</v>
      </c>
      <c r="K12" s="4" t="s">
        <v>116</v>
      </c>
      <c r="L12" s="11"/>
    </row>
    <row r="13" spans="1:12" ht="42" x14ac:dyDescent="0.25">
      <c r="A13" s="4">
        <v>11</v>
      </c>
      <c r="B13" s="10">
        <v>908020201</v>
      </c>
      <c r="C13" s="11" t="s">
        <v>12</v>
      </c>
      <c r="D13" s="5">
        <v>28867860</v>
      </c>
      <c r="E13" s="4">
        <f>1+3</f>
        <v>4</v>
      </c>
      <c r="F13" s="14"/>
      <c r="G13" s="6">
        <f t="shared" si="0"/>
        <v>4</v>
      </c>
      <c r="H13" s="7" t="s">
        <v>237</v>
      </c>
      <c r="I13" s="8" t="s">
        <v>13</v>
      </c>
      <c r="J13" s="9"/>
      <c r="K13" s="4"/>
      <c r="L13" s="11"/>
    </row>
    <row r="14" spans="1:12" ht="28.5" x14ac:dyDescent="0.25">
      <c r="A14" s="4">
        <v>12</v>
      </c>
      <c r="B14" s="10">
        <v>908402208</v>
      </c>
      <c r="C14" s="11" t="s">
        <v>58</v>
      </c>
      <c r="D14" s="5">
        <v>28867860</v>
      </c>
      <c r="E14" s="4">
        <v>5</v>
      </c>
      <c r="F14" s="14">
        <v>5</v>
      </c>
      <c r="G14" s="6">
        <f t="shared" si="0"/>
        <v>0</v>
      </c>
      <c r="H14" s="7">
        <v>46114</v>
      </c>
      <c r="I14" s="8" t="s">
        <v>13</v>
      </c>
      <c r="J14" s="9">
        <v>46118</v>
      </c>
      <c r="K14" s="4" t="s">
        <v>116</v>
      </c>
      <c r="L14" s="11"/>
    </row>
    <row r="15" spans="1:12" ht="28.5" x14ac:dyDescent="0.25">
      <c r="A15" s="4">
        <v>13</v>
      </c>
      <c r="B15" s="10">
        <v>908421025</v>
      </c>
      <c r="C15" s="11" t="s">
        <v>59</v>
      </c>
      <c r="D15" s="5">
        <v>28867860</v>
      </c>
      <c r="E15" s="4">
        <v>1</v>
      </c>
      <c r="F15" s="14">
        <v>1</v>
      </c>
      <c r="G15" s="6">
        <f t="shared" si="0"/>
        <v>0</v>
      </c>
      <c r="H15" s="7">
        <v>46114</v>
      </c>
      <c r="I15" s="8" t="s">
        <v>13</v>
      </c>
      <c r="J15" s="9">
        <v>46118</v>
      </c>
      <c r="K15" s="4" t="s">
        <v>116</v>
      </c>
      <c r="L15" s="11"/>
    </row>
    <row r="16" spans="1:12" ht="28.5" x14ac:dyDescent="0.25">
      <c r="A16" s="4">
        <v>14</v>
      </c>
      <c r="B16" s="10">
        <v>908202189</v>
      </c>
      <c r="C16" s="11" t="s">
        <v>18</v>
      </c>
      <c r="D16" s="5">
        <v>28867860</v>
      </c>
      <c r="E16" s="4">
        <v>3</v>
      </c>
      <c r="F16" s="14">
        <v>3</v>
      </c>
      <c r="G16" s="6">
        <f t="shared" si="0"/>
        <v>0</v>
      </c>
      <c r="H16" s="7">
        <v>46114</v>
      </c>
      <c r="I16" s="8" t="s">
        <v>13</v>
      </c>
      <c r="J16" s="9">
        <v>46118</v>
      </c>
      <c r="K16" s="4" t="s">
        <v>116</v>
      </c>
      <c r="L16" s="11"/>
    </row>
    <row r="17" spans="1:12" ht="28.5" x14ac:dyDescent="0.25">
      <c r="A17" s="4">
        <v>15</v>
      </c>
      <c r="B17" s="10">
        <v>908371012</v>
      </c>
      <c r="C17" s="11" t="s">
        <v>124</v>
      </c>
      <c r="D17" s="5">
        <v>28867860</v>
      </c>
      <c r="E17" s="4">
        <v>3</v>
      </c>
      <c r="F17" s="14">
        <v>3</v>
      </c>
      <c r="G17" s="6">
        <f t="shared" si="0"/>
        <v>0</v>
      </c>
      <c r="H17" s="7">
        <v>46114</v>
      </c>
      <c r="I17" s="8" t="s">
        <v>13</v>
      </c>
      <c r="J17" s="9">
        <v>46118</v>
      </c>
      <c r="K17" s="4" t="s">
        <v>116</v>
      </c>
      <c r="L17" s="11"/>
    </row>
    <row r="18" spans="1:12" ht="28.5" x14ac:dyDescent="0.25">
      <c r="A18" s="4">
        <v>16</v>
      </c>
      <c r="B18" s="10">
        <v>908371001</v>
      </c>
      <c r="C18" s="11" t="s">
        <v>210</v>
      </c>
      <c r="D18" s="5">
        <v>28867860</v>
      </c>
      <c r="E18" s="4">
        <v>2</v>
      </c>
      <c r="F18" s="14">
        <v>2</v>
      </c>
      <c r="G18" s="6">
        <f t="shared" si="0"/>
        <v>0</v>
      </c>
      <c r="H18" s="7">
        <v>46114</v>
      </c>
      <c r="I18" s="8" t="s">
        <v>13</v>
      </c>
      <c r="J18" s="9">
        <v>46118</v>
      </c>
      <c r="K18" s="4" t="s">
        <v>116</v>
      </c>
      <c r="L18" s="11"/>
    </row>
    <row r="19" spans="1:12" ht="28.5" x14ac:dyDescent="0.25">
      <c r="A19" s="4">
        <v>17</v>
      </c>
      <c r="B19" s="12">
        <v>908421031</v>
      </c>
      <c r="C19" s="11" t="s">
        <v>111</v>
      </c>
      <c r="D19" s="5">
        <v>28867860</v>
      </c>
      <c r="E19" s="4">
        <v>2</v>
      </c>
      <c r="F19" s="14">
        <v>2</v>
      </c>
      <c r="G19" s="6">
        <f t="shared" si="0"/>
        <v>0</v>
      </c>
      <c r="H19" s="7">
        <v>46114</v>
      </c>
      <c r="I19" s="8" t="s">
        <v>13</v>
      </c>
      <c r="J19" s="9">
        <v>46118</v>
      </c>
      <c r="K19" s="4" t="s">
        <v>116</v>
      </c>
      <c r="L19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A0B1-E061-421C-9FB1-4A67AB14EE73}">
  <sheetPr>
    <pageSetUpPr fitToPage="1"/>
  </sheetPr>
  <dimension ref="A1:L11"/>
  <sheetViews>
    <sheetView zoomScale="78" zoomScaleNormal="78" workbookViewId="0">
      <selection activeCell="B8" sqref="B8:C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171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28612722</v>
      </c>
      <c r="E3" s="4">
        <v>3</v>
      </c>
      <c r="F3" s="14">
        <v>3</v>
      </c>
      <c r="G3" s="6">
        <f>E3-F3</f>
        <v>0</v>
      </c>
      <c r="H3" s="7">
        <v>46071</v>
      </c>
      <c r="I3" s="8" t="s">
        <v>13</v>
      </c>
      <c r="J3" s="9">
        <v>46074</v>
      </c>
      <c r="K3" s="4" t="s">
        <v>116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28612722</v>
      </c>
      <c r="E4" s="4">
        <v>2</v>
      </c>
      <c r="F4" s="14"/>
      <c r="G4" s="6">
        <f t="shared" ref="G4:G11" si="0">E4-F4</f>
        <v>2</v>
      </c>
      <c r="H4" s="7">
        <v>46071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28612722</v>
      </c>
      <c r="E5" s="4">
        <v>1</v>
      </c>
      <c r="F5" s="14">
        <v>2</v>
      </c>
      <c r="G5" s="6">
        <f t="shared" si="0"/>
        <v>-1</v>
      </c>
      <c r="H5" s="7">
        <v>46071</v>
      </c>
      <c r="I5" s="8" t="s">
        <v>13</v>
      </c>
      <c r="J5" s="9">
        <v>46074</v>
      </c>
      <c r="K5" s="4" t="s">
        <v>116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28612722</v>
      </c>
      <c r="E6" s="4">
        <v>1</v>
      </c>
      <c r="F6" s="14">
        <v>1</v>
      </c>
      <c r="G6" s="6">
        <f t="shared" si="0"/>
        <v>0</v>
      </c>
      <c r="H6" s="7">
        <v>46071</v>
      </c>
      <c r="I6" s="8" t="s">
        <v>13</v>
      </c>
      <c r="J6" s="9">
        <v>46074</v>
      </c>
      <c r="K6" s="4" t="s">
        <v>116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28612722</v>
      </c>
      <c r="E7" s="4">
        <v>4</v>
      </c>
      <c r="F7" s="14">
        <v>4</v>
      </c>
      <c r="G7" s="6">
        <f t="shared" si="0"/>
        <v>0</v>
      </c>
      <c r="H7" s="7">
        <v>46070</v>
      </c>
      <c r="I7" s="8" t="s">
        <v>13</v>
      </c>
      <c r="J7" s="9">
        <v>46074</v>
      </c>
      <c r="K7" s="4" t="s">
        <v>116</v>
      </c>
      <c r="L7" s="11"/>
    </row>
    <row r="8" spans="1:12" ht="28.5" x14ac:dyDescent="0.25">
      <c r="A8" s="4">
        <v>6</v>
      </c>
      <c r="B8" s="12">
        <v>908421031</v>
      </c>
      <c r="C8" s="11" t="s">
        <v>111</v>
      </c>
      <c r="D8" s="5">
        <v>28612722</v>
      </c>
      <c r="E8" s="4">
        <v>1</v>
      </c>
      <c r="F8" s="14">
        <v>1</v>
      </c>
      <c r="G8" s="6">
        <f t="shared" si="0"/>
        <v>0</v>
      </c>
      <c r="H8" s="7">
        <v>46071</v>
      </c>
      <c r="I8" s="8" t="s">
        <v>13</v>
      </c>
      <c r="J8" s="9">
        <v>46074</v>
      </c>
      <c r="K8" s="4" t="s">
        <v>116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28612722</v>
      </c>
      <c r="E9" s="4">
        <v>2</v>
      </c>
      <c r="F9" s="14">
        <v>2</v>
      </c>
      <c r="G9" s="6">
        <f t="shared" si="0"/>
        <v>0</v>
      </c>
      <c r="H9" s="7">
        <v>46071</v>
      </c>
      <c r="I9" s="8" t="s">
        <v>13</v>
      </c>
      <c r="J9" s="9">
        <v>46074</v>
      </c>
      <c r="K9" s="4" t="s">
        <v>116</v>
      </c>
      <c r="L9" s="11"/>
    </row>
    <row r="10" spans="1:12" ht="28.5" x14ac:dyDescent="0.25">
      <c r="A10" s="4">
        <v>8</v>
      </c>
      <c r="B10" s="12">
        <v>908371014</v>
      </c>
      <c r="C10" s="11" t="s">
        <v>76</v>
      </c>
      <c r="D10" s="5">
        <v>28612722</v>
      </c>
      <c r="E10" s="4">
        <v>3</v>
      </c>
      <c r="F10" s="14">
        <v>3</v>
      </c>
      <c r="G10" s="6">
        <f t="shared" si="0"/>
        <v>0</v>
      </c>
      <c r="H10" s="7">
        <v>46071</v>
      </c>
      <c r="I10" s="8" t="s">
        <v>13</v>
      </c>
      <c r="J10" s="9">
        <v>46074</v>
      </c>
      <c r="K10" s="4" t="s">
        <v>116</v>
      </c>
      <c r="L10" s="11"/>
    </row>
    <row r="11" spans="1:12" ht="28.5" x14ac:dyDescent="0.25">
      <c r="A11" s="4">
        <v>9</v>
      </c>
      <c r="B11" s="12">
        <v>908020201</v>
      </c>
      <c r="C11" s="11" t="s">
        <v>12</v>
      </c>
      <c r="D11" s="5">
        <v>28612722</v>
      </c>
      <c r="E11" s="4">
        <v>2</v>
      </c>
      <c r="F11" s="14"/>
      <c r="G11" s="6">
        <f t="shared" si="0"/>
        <v>2</v>
      </c>
      <c r="H11" s="7">
        <v>46071</v>
      </c>
      <c r="I11" s="8" t="s">
        <v>13</v>
      </c>
      <c r="J11" s="9"/>
      <c r="K11" s="4"/>
      <c r="L11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4CCF-9C88-4938-AC31-7B61ECC4ECD3}">
  <dimension ref="A1:L10"/>
  <sheetViews>
    <sheetView zoomScale="78" zoomScaleNormal="78" workbookViewId="0">
      <selection activeCell="B8" sqref="B8:C9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170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28606381</v>
      </c>
      <c r="E3" s="4">
        <v>2</v>
      </c>
      <c r="F3" s="14">
        <v>2</v>
      </c>
      <c r="G3" s="6">
        <f>E3-F3</f>
        <v>0</v>
      </c>
      <c r="H3" s="7">
        <v>46070</v>
      </c>
      <c r="I3" s="8" t="s">
        <v>13</v>
      </c>
      <c r="J3" s="9">
        <v>46071</v>
      </c>
      <c r="K3" s="4" t="s">
        <v>116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28606381</v>
      </c>
      <c r="E4" s="4">
        <v>2</v>
      </c>
      <c r="F4" s="14"/>
      <c r="G4" s="6">
        <f t="shared" ref="G4:G10" si="0">E4-F4</f>
        <v>2</v>
      </c>
      <c r="H4" s="7">
        <v>46070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28606381</v>
      </c>
      <c r="E5" s="4">
        <v>2</v>
      </c>
      <c r="F5" s="14">
        <v>2</v>
      </c>
      <c r="G5" s="6">
        <f t="shared" si="0"/>
        <v>0</v>
      </c>
      <c r="H5" s="7">
        <v>46070</v>
      </c>
      <c r="I5" s="8" t="s">
        <v>13</v>
      </c>
      <c r="J5" s="9">
        <v>46071</v>
      </c>
      <c r="K5" s="4" t="s">
        <v>116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28606381</v>
      </c>
      <c r="E6" s="4">
        <v>2</v>
      </c>
      <c r="F6" s="14">
        <v>2</v>
      </c>
      <c r="G6" s="6">
        <f t="shared" si="0"/>
        <v>0</v>
      </c>
      <c r="H6" s="7">
        <v>46070</v>
      </c>
      <c r="I6" s="8" t="s">
        <v>13</v>
      </c>
      <c r="J6" s="9">
        <v>46071</v>
      </c>
      <c r="K6" s="4" t="s">
        <v>116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28606381</v>
      </c>
      <c r="E7" s="4">
        <v>4</v>
      </c>
      <c r="F7" s="14">
        <v>4</v>
      </c>
      <c r="G7" s="6">
        <f t="shared" si="0"/>
        <v>0</v>
      </c>
      <c r="H7" s="7">
        <v>46070</v>
      </c>
      <c r="I7" s="8" t="s">
        <v>13</v>
      </c>
      <c r="J7" s="9">
        <v>46071</v>
      </c>
      <c r="K7" s="4" t="s">
        <v>116</v>
      </c>
      <c r="L7" s="11"/>
    </row>
    <row r="8" spans="1:12" ht="28.5" x14ac:dyDescent="0.25">
      <c r="A8" s="4">
        <v>6</v>
      </c>
      <c r="B8" s="12">
        <v>908202189</v>
      </c>
      <c r="C8" s="11" t="s">
        <v>18</v>
      </c>
      <c r="D8" s="5">
        <v>28606381</v>
      </c>
      <c r="E8" s="4">
        <v>2</v>
      </c>
      <c r="F8" s="14">
        <v>2</v>
      </c>
      <c r="G8" s="6">
        <f t="shared" si="0"/>
        <v>0</v>
      </c>
      <c r="H8" s="7">
        <v>46070</v>
      </c>
      <c r="I8" s="8" t="s">
        <v>13</v>
      </c>
      <c r="J8" s="9">
        <v>46071</v>
      </c>
      <c r="K8" s="4" t="s">
        <v>116</v>
      </c>
      <c r="L8" s="11"/>
    </row>
    <row r="9" spans="1:12" ht="28.5" x14ac:dyDescent="0.25">
      <c r="A9" s="4">
        <v>7</v>
      </c>
      <c r="B9" s="12">
        <v>908371014</v>
      </c>
      <c r="C9" s="11" t="s">
        <v>76</v>
      </c>
      <c r="D9" s="5">
        <v>28606381</v>
      </c>
      <c r="E9" s="4">
        <v>2</v>
      </c>
      <c r="F9" s="14">
        <v>2</v>
      </c>
      <c r="G9" s="6">
        <f t="shared" si="0"/>
        <v>0</v>
      </c>
      <c r="H9" s="7">
        <v>46070</v>
      </c>
      <c r="I9" s="8" t="s">
        <v>13</v>
      </c>
      <c r="J9" s="9">
        <v>46071</v>
      </c>
      <c r="K9" s="4" t="s">
        <v>116</v>
      </c>
      <c r="L9" s="11"/>
    </row>
    <row r="10" spans="1:12" ht="28.5" x14ac:dyDescent="0.25">
      <c r="A10" s="4">
        <v>8</v>
      </c>
      <c r="B10" s="12">
        <v>908020201</v>
      </c>
      <c r="C10" s="11" t="s">
        <v>12</v>
      </c>
      <c r="D10" s="5">
        <v>28606381</v>
      </c>
      <c r="E10" s="4">
        <v>2</v>
      </c>
      <c r="F10" s="14"/>
      <c r="G10" s="6">
        <f t="shared" si="0"/>
        <v>2</v>
      </c>
      <c r="H10" s="7">
        <v>46070</v>
      </c>
      <c r="I10" s="8" t="s">
        <v>13</v>
      </c>
      <c r="J10" s="9"/>
      <c r="K10" s="4"/>
      <c r="L10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B765-FF8C-46D0-83B0-C90AF8360421}">
  <dimension ref="A1:L10"/>
  <sheetViews>
    <sheetView zoomScale="78" zoomScaleNormal="78" workbookViewId="0">
      <selection activeCell="B4" sqref="B4:C4"/>
    </sheetView>
  </sheetViews>
  <sheetFormatPr defaultRowHeight="30" customHeight="1" x14ac:dyDescent="0.25"/>
  <cols>
    <col min="2" max="2" width="20.140625" bestFit="1" customWidth="1"/>
    <col min="3" max="3" width="84" bestFit="1" customWidth="1"/>
    <col min="4" max="4" width="24.42578125" bestFit="1" customWidth="1"/>
    <col min="5" max="5" width="22.42578125" bestFit="1" customWidth="1"/>
    <col min="6" max="6" width="21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6.7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54" customHeight="1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30" customHeight="1" x14ac:dyDescent="0.25">
      <c r="A3" s="4">
        <v>1</v>
      </c>
      <c r="B3" s="19">
        <v>908121009</v>
      </c>
      <c r="C3" s="12" t="s">
        <v>38</v>
      </c>
      <c r="D3" s="4"/>
      <c r="E3" s="4"/>
      <c r="F3" s="14">
        <v>2</v>
      </c>
      <c r="G3" s="6">
        <f>E3-F3</f>
        <v>-2</v>
      </c>
      <c r="H3" s="16"/>
      <c r="I3" s="11"/>
      <c r="J3" s="18">
        <v>46067</v>
      </c>
      <c r="K3" s="4" t="s">
        <v>116</v>
      </c>
      <c r="L3" s="15"/>
    </row>
    <row r="4" spans="1:12" ht="30" customHeight="1" x14ac:dyDescent="0.25">
      <c r="A4" s="4">
        <v>2</v>
      </c>
      <c r="B4" s="19">
        <v>908111006</v>
      </c>
      <c r="C4" s="11" t="s">
        <v>60</v>
      </c>
      <c r="D4" s="4"/>
      <c r="E4" s="4"/>
      <c r="F4" s="14">
        <v>15</v>
      </c>
      <c r="G4" s="6">
        <f t="shared" ref="G4:G10" si="0">E4-F4</f>
        <v>-15</v>
      </c>
      <c r="H4" s="16"/>
      <c r="I4" s="11"/>
      <c r="J4" s="18">
        <v>46067</v>
      </c>
      <c r="K4" s="4" t="s">
        <v>116</v>
      </c>
      <c r="L4" s="15"/>
    </row>
    <row r="5" spans="1:12" ht="30" customHeight="1" x14ac:dyDescent="0.25">
      <c r="A5" s="4">
        <v>3</v>
      </c>
      <c r="B5" s="10" t="s">
        <v>50</v>
      </c>
      <c r="C5" s="11" t="s">
        <v>51</v>
      </c>
      <c r="D5" s="4"/>
      <c r="E5" s="4"/>
      <c r="F5" s="14">
        <v>15</v>
      </c>
      <c r="G5" s="6">
        <f t="shared" si="0"/>
        <v>-15</v>
      </c>
      <c r="H5" s="16"/>
      <c r="I5" s="11"/>
      <c r="J5" s="18">
        <v>46067</v>
      </c>
      <c r="K5" s="4" t="s">
        <v>116</v>
      </c>
      <c r="L5" s="15"/>
    </row>
    <row r="6" spans="1:12" ht="30" customHeight="1" x14ac:dyDescent="0.25">
      <c r="A6" s="4">
        <v>4</v>
      </c>
      <c r="B6" s="13">
        <v>908122009</v>
      </c>
      <c r="C6" s="12" t="s">
        <v>149</v>
      </c>
      <c r="D6" s="4"/>
      <c r="E6" s="4"/>
      <c r="F6" s="14">
        <v>4</v>
      </c>
      <c r="G6" s="6">
        <f t="shared" si="0"/>
        <v>-4</v>
      </c>
      <c r="H6" s="16"/>
      <c r="I6" s="11"/>
      <c r="J6" s="18">
        <v>46067</v>
      </c>
      <c r="K6" s="4" t="s">
        <v>116</v>
      </c>
      <c r="L6" s="15"/>
    </row>
    <row r="7" spans="1:12" ht="30" customHeight="1" x14ac:dyDescent="0.25">
      <c r="A7" s="4">
        <v>5</v>
      </c>
      <c r="B7" s="12">
        <v>908202189</v>
      </c>
      <c r="C7" s="11" t="s">
        <v>18</v>
      </c>
      <c r="D7" s="4">
        <v>28531248</v>
      </c>
      <c r="E7" s="4">
        <v>3</v>
      </c>
      <c r="F7" s="14">
        <v>3</v>
      </c>
      <c r="G7" s="6">
        <f t="shared" si="0"/>
        <v>0</v>
      </c>
      <c r="H7" s="16">
        <v>46058</v>
      </c>
      <c r="I7" s="11" t="s">
        <v>13</v>
      </c>
      <c r="J7" s="18">
        <v>46067</v>
      </c>
      <c r="K7" s="4" t="s">
        <v>116</v>
      </c>
      <c r="L7" s="15"/>
    </row>
    <row r="8" spans="1:12" ht="30" customHeight="1" x14ac:dyDescent="0.25">
      <c r="A8" s="4">
        <v>6</v>
      </c>
      <c r="B8" s="12" t="s">
        <v>16</v>
      </c>
      <c r="C8" s="11" t="s">
        <v>19</v>
      </c>
      <c r="D8" s="4">
        <v>28531248</v>
      </c>
      <c r="E8" s="4">
        <v>2</v>
      </c>
      <c r="F8" s="14">
        <v>3</v>
      </c>
      <c r="G8" s="6">
        <f t="shared" si="0"/>
        <v>-1</v>
      </c>
      <c r="H8" s="16">
        <v>46058</v>
      </c>
      <c r="I8" s="11" t="s">
        <v>13</v>
      </c>
      <c r="J8" s="18">
        <v>46067</v>
      </c>
      <c r="K8" s="4" t="s">
        <v>116</v>
      </c>
      <c r="L8" s="15"/>
    </row>
    <row r="9" spans="1:12" ht="30" customHeight="1" x14ac:dyDescent="0.25">
      <c r="A9" s="4">
        <v>7</v>
      </c>
      <c r="B9" s="12">
        <v>908121001</v>
      </c>
      <c r="C9" s="11" t="s">
        <v>165</v>
      </c>
      <c r="D9" s="4">
        <v>28531248</v>
      </c>
      <c r="E9" s="4">
        <v>2</v>
      </c>
      <c r="F9" s="14"/>
      <c r="G9" s="6">
        <f t="shared" si="0"/>
        <v>2</v>
      </c>
      <c r="H9" s="16">
        <v>46058</v>
      </c>
      <c r="I9" s="11" t="s">
        <v>13</v>
      </c>
      <c r="J9" s="18"/>
      <c r="K9" s="4"/>
      <c r="L9" s="15"/>
    </row>
    <row r="10" spans="1:12" ht="30" customHeight="1" x14ac:dyDescent="0.25">
      <c r="A10" s="4">
        <v>8</v>
      </c>
      <c r="B10" s="10">
        <v>908202030</v>
      </c>
      <c r="C10" s="11" t="s">
        <v>15</v>
      </c>
      <c r="D10" s="4">
        <v>28531248</v>
      </c>
      <c r="E10" s="4">
        <v>3</v>
      </c>
      <c r="F10" s="14"/>
      <c r="G10" s="6">
        <f t="shared" si="0"/>
        <v>3</v>
      </c>
      <c r="H10" s="16">
        <v>46058</v>
      </c>
      <c r="I10" s="11" t="s">
        <v>13</v>
      </c>
      <c r="J10" s="18"/>
      <c r="K10" s="4"/>
      <c r="L10" s="15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56EB-0DF5-4E4B-8BFA-DC49D7FAA7F0}">
  <dimension ref="A1:L13"/>
  <sheetViews>
    <sheetView zoomScale="78" zoomScaleNormal="78" workbookViewId="0">
      <selection activeCell="E20" sqref="E20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158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908121008</v>
      </c>
      <c r="C3" s="11" t="s">
        <v>14</v>
      </c>
      <c r="D3" s="5">
        <v>28558163</v>
      </c>
      <c r="E3" s="4">
        <v>2</v>
      </c>
      <c r="F3" s="14">
        <v>2</v>
      </c>
      <c r="G3" s="6">
        <f t="shared" ref="G3:G12" si="0">E3-F3</f>
        <v>0</v>
      </c>
      <c r="H3" s="7">
        <v>46062</v>
      </c>
      <c r="I3" s="8" t="s">
        <v>13</v>
      </c>
      <c r="J3" s="9">
        <v>46082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/>
      <c r="E4" s="4"/>
      <c r="F4" s="14">
        <v>34</v>
      </c>
      <c r="G4" s="6">
        <f t="shared" si="0"/>
        <v>-34</v>
      </c>
      <c r="H4" s="7"/>
      <c r="I4" s="8"/>
      <c r="J4" s="9">
        <v>46077</v>
      </c>
      <c r="K4" s="4" t="s">
        <v>116</v>
      </c>
      <c r="L4" s="11"/>
    </row>
    <row r="5" spans="1:12" ht="28.5" x14ac:dyDescent="0.25">
      <c r="A5" s="4">
        <v>3</v>
      </c>
      <c r="B5" s="10">
        <v>908402208</v>
      </c>
      <c r="C5" s="11" t="s">
        <v>58</v>
      </c>
      <c r="D5" s="5">
        <v>28867769</v>
      </c>
      <c r="E5" s="4">
        <v>2</v>
      </c>
      <c r="F5" s="14">
        <v>2</v>
      </c>
      <c r="G5" s="6">
        <f t="shared" si="0"/>
        <v>0</v>
      </c>
      <c r="H5" s="7">
        <v>46114</v>
      </c>
      <c r="I5" s="8" t="s">
        <v>13</v>
      </c>
      <c r="J5" s="9">
        <v>46117</v>
      </c>
      <c r="K5" s="4" t="s">
        <v>116</v>
      </c>
      <c r="L5" s="11"/>
    </row>
    <row r="6" spans="1:12" ht="28.5" x14ac:dyDescent="0.25">
      <c r="A6" s="4">
        <v>4</v>
      </c>
      <c r="B6" s="10">
        <v>908202030</v>
      </c>
      <c r="C6" s="11" t="s">
        <v>15</v>
      </c>
      <c r="D6" s="5">
        <v>28867769</v>
      </c>
      <c r="E6" s="4">
        <v>2</v>
      </c>
      <c r="F6" s="14"/>
      <c r="G6" s="6">
        <f t="shared" si="0"/>
        <v>2</v>
      </c>
      <c r="H6" s="7">
        <v>46114</v>
      </c>
      <c r="I6" s="8" t="s">
        <v>13</v>
      </c>
      <c r="J6" s="9"/>
      <c r="K6" s="4"/>
      <c r="L6" s="11"/>
    </row>
    <row r="7" spans="1:12" ht="28.5" x14ac:dyDescent="0.25">
      <c r="A7" s="4">
        <v>5</v>
      </c>
      <c r="B7" s="10" t="s">
        <v>16</v>
      </c>
      <c r="C7" s="11" t="s">
        <v>19</v>
      </c>
      <c r="D7" s="5">
        <v>28867769</v>
      </c>
      <c r="E7" s="4">
        <v>2</v>
      </c>
      <c r="F7" s="14">
        <v>2</v>
      </c>
      <c r="G7" s="6">
        <f t="shared" si="0"/>
        <v>0</v>
      </c>
      <c r="H7" s="7">
        <v>46114</v>
      </c>
      <c r="I7" s="8" t="s">
        <v>13</v>
      </c>
      <c r="J7" s="9">
        <v>46117</v>
      </c>
      <c r="K7" s="4" t="s">
        <v>116</v>
      </c>
      <c r="L7" s="11"/>
    </row>
    <row r="8" spans="1:12" ht="28.5" x14ac:dyDescent="0.25">
      <c r="A8" s="4">
        <v>6</v>
      </c>
      <c r="B8" s="10">
        <v>908421025</v>
      </c>
      <c r="C8" s="11" t="s">
        <v>59</v>
      </c>
      <c r="D8" s="5">
        <v>28867769</v>
      </c>
      <c r="E8" s="4">
        <v>2</v>
      </c>
      <c r="F8" s="14">
        <v>2</v>
      </c>
      <c r="G8" s="6">
        <f t="shared" si="0"/>
        <v>0</v>
      </c>
      <c r="H8" s="7">
        <v>46114</v>
      </c>
      <c r="I8" s="8" t="s">
        <v>13</v>
      </c>
      <c r="J8" s="9">
        <v>46117</v>
      </c>
      <c r="K8" s="4" t="s">
        <v>116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>
        <v>28867769</v>
      </c>
      <c r="E9" s="4"/>
      <c r="F9" s="14">
        <v>4</v>
      </c>
      <c r="G9" s="6">
        <f t="shared" si="0"/>
        <v>-4</v>
      </c>
      <c r="H9" s="7"/>
      <c r="I9" s="8"/>
      <c r="J9" s="9">
        <v>46117</v>
      </c>
      <c r="K9" s="4" t="s">
        <v>116</v>
      </c>
      <c r="L9" s="11"/>
    </row>
    <row r="10" spans="1:12" ht="28.5" x14ac:dyDescent="0.25">
      <c r="A10" s="4">
        <v>8</v>
      </c>
      <c r="B10" s="10">
        <v>908202189</v>
      </c>
      <c r="C10" s="11" t="s">
        <v>18</v>
      </c>
      <c r="D10" s="5">
        <v>28867769</v>
      </c>
      <c r="E10" s="4">
        <v>2</v>
      </c>
      <c r="F10" s="14">
        <v>2</v>
      </c>
      <c r="G10" s="6">
        <f t="shared" si="0"/>
        <v>0</v>
      </c>
      <c r="H10" s="7">
        <v>46114</v>
      </c>
      <c r="I10" s="8" t="s">
        <v>13</v>
      </c>
      <c r="J10" s="9">
        <v>46117</v>
      </c>
      <c r="K10" s="4" t="s">
        <v>116</v>
      </c>
      <c r="L10" s="11"/>
    </row>
    <row r="11" spans="1:12" ht="28.5" x14ac:dyDescent="0.25">
      <c r="A11" s="4">
        <v>9</v>
      </c>
      <c r="B11" s="10">
        <v>908371014</v>
      </c>
      <c r="C11" s="11" t="s">
        <v>76</v>
      </c>
      <c r="D11" s="5">
        <v>28867769</v>
      </c>
      <c r="E11" s="4">
        <v>2</v>
      </c>
      <c r="F11" s="14">
        <v>2</v>
      </c>
      <c r="G11" s="6">
        <f t="shared" si="0"/>
        <v>0</v>
      </c>
      <c r="H11" s="7">
        <v>46114</v>
      </c>
      <c r="I11" s="8" t="s">
        <v>13</v>
      </c>
      <c r="J11" s="9">
        <v>46117</v>
      </c>
      <c r="K11" s="4" t="s">
        <v>116</v>
      </c>
      <c r="L11" s="11"/>
    </row>
    <row r="12" spans="1:12" ht="28.5" x14ac:dyDescent="0.25">
      <c r="A12" s="4">
        <v>10</v>
      </c>
      <c r="B12" s="10">
        <v>908020201</v>
      </c>
      <c r="C12" s="11" t="s">
        <v>12</v>
      </c>
      <c r="D12" s="5">
        <v>28867769</v>
      </c>
      <c r="E12" s="4">
        <v>2</v>
      </c>
      <c r="F12" s="14"/>
      <c r="G12" s="6">
        <f t="shared" si="0"/>
        <v>2</v>
      </c>
      <c r="H12" s="7">
        <v>46114</v>
      </c>
      <c r="I12" s="8" t="s">
        <v>13</v>
      </c>
      <c r="J12" s="9"/>
      <c r="K12" s="4"/>
      <c r="L12" s="11"/>
    </row>
    <row r="13" spans="1:12" ht="28.5" x14ac:dyDescent="0.25">
      <c r="A13" s="4"/>
      <c r="B13" s="10"/>
      <c r="C13" s="11"/>
      <c r="D13" s="5"/>
      <c r="E13" s="4"/>
      <c r="F13" s="14"/>
      <c r="G13" s="6"/>
      <c r="H13" s="7"/>
      <c r="I13" s="8"/>
      <c r="J13" s="9"/>
      <c r="K13" s="4"/>
      <c r="L13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0A81-AA6B-439B-8E8C-A1DA9D1242F4}">
  <dimension ref="A1:L17"/>
  <sheetViews>
    <sheetView zoomScale="78" zoomScaleNormal="78" workbookViewId="0">
      <selection activeCell="F21" sqref="F2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157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/>
      <c r="E3" s="4"/>
      <c r="F3" s="14">
        <v>41</v>
      </c>
      <c r="G3" s="6">
        <f>E3-F3</f>
        <v>-41</v>
      </c>
      <c r="H3" s="7"/>
      <c r="I3" s="8" t="s">
        <v>13</v>
      </c>
      <c r="J3" s="9">
        <v>46078</v>
      </c>
      <c r="K3" s="4" t="s">
        <v>116</v>
      </c>
      <c r="L3" s="11"/>
    </row>
    <row r="4" spans="1:12" ht="28.5" x14ac:dyDescent="0.25">
      <c r="A4" s="4">
        <v>2</v>
      </c>
      <c r="B4" s="10" t="s">
        <v>52</v>
      </c>
      <c r="C4" s="11" t="s">
        <v>53</v>
      </c>
      <c r="D4" s="5"/>
      <c r="E4" s="4"/>
      <c r="F4" s="14">
        <v>30</v>
      </c>
      <c r="G4" s="6">
        <f t="shared" ref="G4:G17" si="0">E4-F4</f>
        <v>-30</v>
      </c>
      <c r="H4" s="7"/>
      <c r="I4" s="8" t="s">
        <v>13</v>
      </c>
      <c r="J4" s="9">
        <v>46078</v>
      </c>
      <c r="K4" s="4" t="s">
        <v>116</v>
      </c>
      <c r="L4" s="11"/>
    </row>
    <row r="5" spans="1:12" ht="42" x14ac:dyDescent="0.25">
      <c r="A5" s="4">
        <v>3</v>
      </c>
      <c r="B5" s="10" t="s">
        <v>16</v>
      </c>
      <c r="C5" s="11" t="s">
        <v>19</v>
      </c>
      <c r="D5" s="26" t="s">
        <v>190</v>
      </c>
      <c r="E5" s="4">
        <f>2+2</f>
        <v>4</v>
      </c>
      <c r="F5" s="14">
        <v>2</v>
      </c>
      <c r="G5" s="6">
        <f t="shared" si="0"/>
        <v>2</v>
      </c>
      <c r="H5" s="7" t="s">
        <v>191</v>
      </c>
      <c r="I5" s="8" t="s">
        <v>13</v>
      </c>
      <c r="J5" s="9">
        <v>46078</v>
      </c>
      <c r="K5" s="4" t="s">
        <v>116</v>
      </c>
      <c r="L5" s="11"/>
    </row>
    <row r="6" spans="1:12" ht="28.5" x14ac:dyDescent="0.25">
      <c r="A6" s="4">
        <v>4</v>
      </c>
      <c r="B6" s="10">
        <v>908121008</v>
      </c>
      <c r="C6" s="11" t="s">
        <v>14</v>
      </c>
      <c r="D6" s="5">
        <v>28510066</v>
      </c>
      <c r="E6" s="4">
        <v>2</v>
      </c>
      <c r="F6" s="14">
        <v>2</v>
      </c>
      <c r="G6" s="6">
        <f t="shared" si="0"/>
        <v>0</v>
      </c>
      <c r="H6" s="7">
        <v>46056</v>
      </c>
      <c r="I6" s="8" t="s">
        <v>13</v>
      </c>
      <c r="J6" s="9">
        <v>46078</v>
      </c>
      <c r="K6" s="4" t="s">
        <v>116</v>
      </c>
      <c r="L6" s="11"/>
    </row>
    <row r="7" spans="1:12" ht="52.5" x14ac:dyDescent="0.25">
      <c r="A7" s="4">
        <v>5</v>
      </c>
      <c r="B7" s="10">
        <v>908121010</v>
      </c>
      <c r="C7" s="11" t="s">
        <v>22</v>
      </c>
      <c r="D7" s="5">
        <v>28510066</v>
      </c>
      <c r="E7" s="4">
        <v>2</v>
      </c>
      <c r="F7" s="14">
        <f>1+1</f>
        <v>2</v>
      </c>
      <c r="G7" s="6">
        <f t="shared" si="0"/>
        <v>0</v>
      </c>
      <c r="H7" s="7">
        <v>46056</v>
      </c>
      <c r="I7" s="8" t="s">
        <v>13</v>
      </c>
      <c r="J7" s="24" t="s">
        <v>180</v>
      </c>
      <c r="K7" s="4" t="s">
        <v>116</v>
      </c>
      <c r="L7" s="11"/>
    </row>
    <row r="8" spans="1:12" ht="28.5" x14ac:dyDescent="0.25">
      <c r="A8" s="4">
        <v>6</v>
      </c>
      <c r="B8" s="10">
        <v>908122011</v>
      </c>
      <c r="C8" s="11" t="s">
        <v>55</v>
      </c>
      <c r="D8" s="5">
        <v>28510066</v>
      </c>
      <c r="E8" s="4">
        <v>3</v>
      </c>
      <c r="F8" s="14">
        <v>3</v>
      </c>
      <c r="G8" s="6">
        <f t="shared" si="0"/>
        <v>0</v>
      </c>
      <c r="H8" s="7">
        <v>46056</v>
      </c>
      <c r="I8" s="8" t="s">
        <v>13</v>
      </c>
      <c r="J8" s="9">
        <v>46081</v>
      </c>
      <c r="K8" s="4" t="s">
        <v>116</v>
      </c>
      <c r="L8" s="11"/>
    </row>
    <row r="9" spans="1:12" ht="28.5" x14ac:dyDescent="0.25">
      <c r="A9" s="4">
        <v>7</v>
      </c>
      <c r="B9" s="10">
        <v>908202098</v>
      </c>
      <c r="C9" s="11" t="s">
        <v>20</v>
      </c>
      <c r="D9" s="26">
        <v>28510066</v>
      </c>
      <c r="E9" s="4">
        <v>2</v>
      </c>
      <c r="F9" s="14">
        <v>2</v>
      </c>
      <c r="G9" s="6">
        <f t="shared" si="0"/>
        <v>0</v>
      </c>
      <c r="H9" s="7">
        <v>46056</v>
      </c>
      <c r="I9" s="8" t="s">
        <v>13</v>
      </c>
      <c r="J9" s="9">
        <v>46078</v>
      </c>
      <c r="K9" s="4" t="s">
        <v>116</v>
      </c>
      <c r="L9" s="11"/>
    </row>
    <row r="10" spans="1:12" ht="52.5" x14ac:dyDescent="0.25">
      <c r="A10" s="4">
        <v>8</v>
      </c>
      <c r="B10" s="10">
        <v>908111101</v>
      </c>
      <c r="C10" s="11" t="s">
        <v>47</v>
      </c>
      <c r="D10" s="5">
        <v>28510066</v>
      </c>
      <c r="E10" s="4">
        <v>6</v>
      </c>
      <c r="F10" s="14">
        <f>6+4</f>
        <v>10</v>
      </c>
      <c r="G10" s="6">
        <f t="shared" si="0"/>
        <v>-4</v>
      </c>
      <c r="H10" s="7"/>
      <c r="I10" s="8" t="s">
        <v>13</v>
      </c>
      <c r="J10" s="24" t="s">
        <v>192</v>
      </c>
      <c r="K10" s="4" t="s">
        <v>116</v>
      </c>
      <c r="L10" s="11"/>
    </row>
    <row r="11" spans="1:12" ht="28.5" x14ac:dyDescent="0.25">
      <c r="A11" s="4">
        <v>9</v>
      </c>
      <c r="B11" s="10">
        <v>908202030</v>
      </c>
      <c r="C11" s="11" t="s">
        <v>15</v>
      </c>
      <c r="D11" s="5">
        <v>28510066</v>
      </c>
      <c r="E11" s="4">
        <v>2</v>
      </c>
      <c r="F11" s="14">
        <v>2</v>
      </c>
      <c r="G11" s="6">
        <f t="shared" si="0"/>
        <v>0</v>
      </c>
      <c r="H11" s="7">
        <v>46056</v>
      </c>
      <c r="I11" s="8" t="s">
        <v>13</v>
      </c>
      <c r="J11" s="9">
        <v>46078</v>
      </c>
      <c r="K11" s="4" t="s">
        <v>116</v>
      </c>
      <c r="L11" s="11"/>
    </row>
    <row r="12" spans="1:12" ht="28.5" x14ac:dyDescent="0.25">
      <c r="A12" s="4">
        <v>10</v>
      </c>
      <c r="B12" s="10">
        <v>908312027</v>
      </c>
      <c r="C12" s="11" t="s">
        <v>33</v>
      </c>
      <c r="D12" s="5">
        <v>28510066</v>
      </c>
      <c r="E12" s="4">
        <v>1</v>
      </c>
      <c r="F12" s="14">
        <v>1</v>
      </c>
      <c r="G12" s="6">
        <f t="shared" si="0"/>
        <v>0</v>
      </c>
      <c r="H12" s="7">
        <v>46056</v>
      </c>
      <c r="I12" s="8" t="s">
        <v>13</v>
      </c>
      <c r="J12" s="9">
        <v>46078</v>
      </c>
      <c r="K12" s="4" t="s">
        <v>116</v>
      </c>
      <c r="L12" s="11"/>
    </row>
    <row r="13" spans="1:12" ht="42" x14ac:dyDescent="0.25">
      <c r="A13" s="4">
        <v>11</v>
      </c>
      <c r="B13" s="10">
        <v>908020201</v>
      </c>
      <c r="C13" s="11" t="s">
        <v>12</v>
      </c>
      <c r="D13" s="26" t="s">
        <v>190</v>
      </c>
      <c r="E13" s="4">
        <v>1</v>
      </c>
      <c r="F13" s="14"/>
      <c r="G13" s="6">
        <f t="shared" si="0"/>
        <v>1</v>
      </c>
      <c r="H13" s="7" t="s">
        <v>191</v>
      </c>
      <c r="I13" s="8" t="s">
        <v>13</v>
      </c>
      <c r="J13" s="9"/>
      <c r="K13" s="4"/>
      <c r="L13" s="11"/>
    </row>
    <row r="14" spans="1:12" ht="28.5" x14ac:dyDescent="0.25">
      <c r="A14" s="4">
        <v>12</v>
      </c>
      <c r="B14" s="10">
        <v>908421025</v>
      </c>
      <c r="C14" s="11" t="s">
        <v>59</v>
      </c>
      <c r="D14" s="5">
        <v>28694035</v>
      </c>
      <c r="E14" s="4">
        <v>2</v>
      </c>
      <c r="F14" s="14">
        <v>2</v>
      </c>
      <c r="G14" s="6">
        <f t="shared" si="0"/>
        <v>0</v>
      </c>
      <c r="H14" s="7">
        <v>46084</v>
      </c>
      <c r="I14" s="8" t="s">
        <v>13</v>
      </c>
      <c r="J14" s="9">
        <v>46086</v>
      </c>
      <c r="K14" s="4" t="s">
        <v>116</v>
      </c>
      <c r="L14" s="11"/>
    </row>
    <row r="15" spans="1:12" ht="28.5" x14ac:dyDescent="0.25">
      <c r="A15" s="4">
        <v>13</v>
      </c>
      <c r="B15" s="12">
        <v>908402208</v>
      </c>
      <c r="C15" s="12" t="s">
        <v>58</v>
      </c>
      <c r="D15" s="5">
        <v>28694035</v>
      </c>
      <c r="E15" s="4">
        <v>2</v>
      </c>
      <c r="F15" s="14">
        <v>2</v>
      </c>
      <c r="G15" s="6">
        <f t="shared" si="0"/>
        <v>0</v>
      </c>
      <c r="H15" s="7">
        <v>46084</v>
      </c>
      <c r="I15" s="8" t="s">
        <v>13</v>
      </c>
      <c r="J15" s="9">
        <v>46086</v>
      </c>
      <c r="K15" s="4" t="s">
        <v>116</v>
      </c>
      <c r="L15" s="11"/>
    </row>
    <row r="16" spans="1:12" ht="28.5" x14ac:dyDescent="0.25">
      <c r="A16" s="4">
        <v>14</v>
      </c>
      <c r="B16" s="12">
        <v>908202189</v>
      </c>
      <c r="C16" s="11" t="s">
        <v>18</v>
      </c>
      <c r="D16" s="5">
        <v>28694035</v>
      </c>
      <c r="E16" s="4">
        <v>2</v>
      </c>
      <c r="F16" s="14">
        <v>2</v>
      </c>
      <c r="G16" s="6">
        <f t="shared" si="0"/>
        <v>0</v>
      </c>
      <c r="H16" s="7">
        <v>46084</v>
      </c>
      <c r="I16" s="8" t="s">
        <v>13</v>
      </c>
      <c r="J16" s="9">
        <v>46086</v>
      </c>
      <c r="K16" s="4" t="s">
        <v>116</v>
      </c>
      <c r="L16" s="11"/>
    </row>
    <row r="17" spans="1:12" ht="28.5" x14ac:dyDescent="0.25">
      <c r="A17" s="4">
        <v>15</v>
      </c>
      <c r="B17" s="12">
        <v>908371014</v>
      </c>
      <c r="C17" s="11" t="s">
        <v>76</v>
      </c>
      <c r="D17" s="5">
        <v>28694035</v>
      </c>
      <c r="E17" s="4">
        <v>2</v>
      </c>
      <c r="F17" s="14">
        <v>2</v>
      </c>
      <c r="G17" s="6">
        <f t="shared" si="0"/>
        <v>0</v>
      </c>
      <c r="H17" s="7">
        <v>46084</v>
      </c>
      <c r="I17" s="8" t="s">
        <v>13</v>
      </c>
      <c r="J17" s="9">
        <v>46086</v>
      </c>
      <c r="K17" s="4" t="s">
        <v>116</v>
      </c>
      <c r="L17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4110-B50A-48A7-929C-91CEAE36F60E}">
  <dimension ref="A1:L12"/>
  <sheetViews>
    <sheetView zoomScale="78" zoomScaleNormal="78" workbookViewId="0">
      <selection activeCell="D22" sqref="D22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156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28569731</v>
      </c>
      <c r="E3" s="4">
        <v>5</v>
      </c>
      <c r="F3" s="14">
        <v>5</v>
      </c>
      <c r="G3" s="6">
        <f>E3-F3</f>
        <v>0</v>
      </c>
      <c r="H3" s="7">
        <v>46064</v>
      </c>
      <c r="I3" s="8" t="s">
        <v>13</v>
      </c>
      <c r="J3" s="9">
        <v>46070</v>
      </c>
      <c r="K3" s="4" t="s">
        <v>116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28569731</v>
      </c>
      <c r="E4" s="4">
        <v>3</v>
      </c>
      <c r="F4" s="14"/>
      <c r="G4" s="6">
        <f t="shared" ref="G4:G11" si="0">E4-F4</f>
        <v>3</v>
      </c>
      <c r="H4" s="7">
        <v>46064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28569731</v>
      </c>
      <c r="E5" s="4">
        <v>2</v>
      </c>
      <c r="F5" s="14">
        <v>3</v>
      </c>
      <c r="G5" s="6">
        <f t="shared" si="0"/>
        <v>-1</v>
      </c>
      <c r="H5" s="7">
        <v>46064</v>
      </c>
      <c r="I5" s="8" t="s">
        <v>13</v>
      </c>
      <c r="J5" s="9">
        <v>46070</v>
      </c>
      <c r="K5" s="4" t="s">
        <v>116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28569731</v>
      </c>
      <c r="E6" s="4">
        <v>1</v>
      </c>
      <c r="F6" s="14">
        <v>1</v>
      </c>
      <c r="G6" s="6">
        <f t="shared" si="0"/>
        <v>0</v>
      </c>
      <c r="H6" s="7">
        <v>46064</v>
      </c>
      <c r="I6" s="8" t="s">
        <v>13</v>
      </c>
      <c r="J6" s="9">
        <v>46070</v>
      </c>
      <c r="K6" s="4" t="s">
        <v>116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28569731</v>
      </c>
      <c r="E7" s="4"/>
      <c r="F7" s="14">
        <v>6</v>
      </c>
      <c r="G7" s="6">
        <f t="shared" si="0"/>
        <v>-6</v>
      </c>
      <c r="H7" s="7">
        <v>46064</v>
      </c>
      <c r="I7" s="8" t="s">
        <v>13</v>
      </c>
      <c r="J7" s="9">
        <v>46070</v>
      </c>
      <c r="K7" s="4" t="s">
        <v>116</v>
      </c>
      <c r="L7" s="11"/>
    </row>
    <row r="8" spans="1:12" ht="28.5" x14ac:dyDescent="0.25">
      <c r="A8" s="4">
        <v>6</v>
      </c>
      <c r="B8" s="12">
        <v>908421031</v>
      </c>
      <c r="C8" s="11" t="s">
        <v>111</v>
      </c>
      <c r="D8" s="5">
        <v>28569731</v>
      </c>
      <c r="E8" s="4">
        <v>2</v>
      </c>
      <c r="F8" s="14">
        <v>2</v>
      </c>
      <c r="G8" s="6">
        <f t="shared" si="0"/>
        <v>0</v>
      </c>
      <c r="H8" s="7">
        <v>46064</v>
      </c>
      <c r="I8" s="8" t="s">
        <v>13</v>
      </c>
      <c r="J8" s="9">
        <v>46070</v>
      </c>
      <c r="K8" s="4" t="s">
        <v>116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28569731</v>
      </c>
      <c r="E9" s="4">
        <v>3</v>
      </c>
      <c r="F9" s="14">
        <v>3</v>
      </c>
      <c r="G9" s="6">
        <f t="shared" si="0"/>
        <v>0</v>
      </c>
      <c r="H9" s="7">
        <v>46064</v>
      </c>
      <c r="I9" s="8" t="s">
        <v>13</v>
      </c>
      <c r="J9" s="9">
        <v>46070</v>
      </c>
      <c r="K9" s="4" t="s">
        <v>116</v>
      </c>
      <c r="L9" s="11"/>
    </row>
    <row r="10" spans="1:12" ht="28.5" x14ac:dyDescent="0.25">
      <c r="A10" s="4">
        <v>8</v>
      </c>
      <c r="B10" s="12">
        <v>908371012</v>
      </c>
      <c r="C10" s="11" t="s">
        <v>124</v>
      </c>
      <c r="D10" s="5">
        <v>28569731</v>
      </c>
      <c r="E10" s="4">
        <v>5</v>
      </c>
      <c r="F10" s="14">
        <v>5</v>
      </c>
      <c r="G10" s="6">
        <f t="shared" si="0"/>
        <v>0</v>
      </c>
      <c r="H10" s="7">
        <v>46064</v>
      </c>
      <c r="I10" s="8" t="s">
        <v>13</v>
      </c>
      <c r="J10" s="9">
        <v>46070</v>
      </c>
      <c r="K10" s="4" t="s">
        <v>116</v>
      </c>
      <c r="L10" s="11"/>
    </row>
    <row r="11" spans="1:12" ht="28.5" x14ac:dyDescent="0.25">
      <c r="A11" s="4">
        <v>9</v>
      </c>
      <c r="B11" s="12">
        <v>908020201</v>
      </c>
      <c r="C11" s="11" t="s">
        <v>12</v>
      </c>
      <c r="D11" s="5">
        <v>28569731</v>
      </c>
      <c r="E11" s="4">
        <v>3</v>
      </c>
      <c r="F11" s="14"/>
      <c r="G11" s="6">
        <f t="shared" si="0"/>
        <v>3</v>
      </c>
      <c r="H11" s="7">
        <v>46064</v>
      </c>
      <c r="I11" s="8" t="s">
        <v>13</v>
      </c>
      <c r="J11" s="9"/>
      <c r="K11" s="4"/>
      <c r="L11" s="11"/>
    </row>
    <row r="12" spans="1:12" ht="28.5" x14ac:dyDescent="0.25">
      <c r="A12" s="4">
        <v>10</v>
      </c>
      <c r="B12" s="12" t="s">
        <v>50</v>
      </c>
      <c r="C12" s="11" t="s">
        <v>51</v>
      </c>
      <c r="D12" s="5"/>
      <c r="E12" s="4"/>
      <c r="F12" s="14">
        <v>2</v>
      </c>
      <c r="G12" s="6"/>
      <c r="H12" s="7"/>
      <c r="I12" s="8"/>
      <c r="J12" s="9">
        <v>46070</v>
      </c>
      <c r="K12" s="4" t="s">
        <v>116</v>
      </c>
      <c r="L12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EFF0-1213-4764-B809-09B682332C7C}">
  <dimension ref="A1:L18"/>
  <sheetViews>
    <sheetView zoomScale="78" zoomScaleNormal="78" workbookViewId="0">
      <selection activeCell="E21" sqref="E2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155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>
        <v>28569148</v>
      </c>
      <c r="E3" s="4"/>
      <c r="F3" s="14">
        <v>32</v>
      </c>
      <c r="G3" s="6">
        <f>E3-F3</f>
        <v>-32</v>
      </c>
      <c r="H3" s="7"/>
      <c r="I3" s="8" t="s">
        <v>13</v>
      </c>
      <c r="J3" s="9">
        <v>46064</v>
      </c>
      <c r="K3" s="4" t="s">
        <v>116</v>
      </c>
      <c r="L3" s="11"/>
    </row>
    <row r="4" spans="1:12" ht="28.5" x14ac:dyDescent="0.25">
      <c r="A4" s="4">
        <v>2</v>
      </c>
      <c r="B4" s="10" t="s">
        <v>52</v>
      </c>
      <c r="C4" s="11" t="s">
        <v>53</v>
      </c>
      <c r="D4" s="5">
        <v>28569148</v>
      </c>
      <c r="E4" s="4"/>
      <c r="F4" s="14">
        <v>74</v>
      </c>
      <c r="G4" s="6">
        <f t="shared" ref="G4:G18" si="0">E4-F4</f>
        <v>-74</v>
      </c>
      <c r="H4" s="7"/>
      <c r="I4" s="8" t="s">
        <v>13</v>
      </c>
      <c r="J4" s="9">
        <v>46064</v>
      </c>
      <c r="K4" s="4" t="s">
        <v>116</v>
      </c>
      <c r="L4" s="11"/>
    </row>
    <row r="5" spans="1:12" ht="52.5" x14ac:dyDescent="0.25">
      <c r="A5" s="4">
        <v>3</v>
      </c>
      <c r="B5" s="10" t="s">
        <v>16</v>
      </c>
      <c r="C5" s="11" t="s">
        <v>19</v>
      </c>
      <c r="D5" s="26" t="s">
        <v>174</v>
      </c>
      <c r="E5" s="4">
        <f>2+2</f>
        <v>4</v>
      </c>
      <c r="F5" s="14">
        <f>2+2</f>
        <v>4</v>
      </c>
      <c r="G5" s="6">
        <f t="shared" si="0"/>
        <v>0</v>
      </c>
      <c r="H5" s="7" t="s">
        <v>173</v>
      </c>
      <c r="I5" s="8" t="s">
        <v>13</v>
      </c>
      <c r="J5" s="24" t="s">
        <v>175</v>
      </c>
      <c r="K5" s="4" t="s">
        <v>116</v>
      </c>
      <c r="L5" s="11"/>
    </row>
    <row r="6" spans="1:12" ht="28.5" x14ac:dyDescent="0.25">
      <c r="A6" s="4">
        <v>4</v>
      </c>
      <c r="B6" s="10">
        <v>908121008</v>
      </c>
      <c r="C6" s="11" t="s">
        <v>14</v>
      </c>
      <c r="D6" s="5">
        <v>28569148</v>
      </c>
      <c r="E6" s="4">
        <v>2</v>
      </c>
      <c r="F6" s="14">
        <v>2</v>
      </c>
      <c r="G6" s="6">
        <f t="shared" si="0"/>
        <v>0</v>
      </c>
      <c r="H6" s="7">
        <v>46065</v>
      </c>
      <c r="I6" s="8" t="s">
        <v>13</v>
      </c>
      <c r="J6" s="9">
        <v>46064</v>
      </c>
      <c r="K6" s="4" t="s">
        <v>116</v>
      </c>
      <c r="L6" s="11"/>
    </row>
    <row r="7" spans="1:12" ht="52.5" x14ac:dyDescent="0.25">
      <c r="A7" s="4">
        <v>5</v>
      </c>
      <c r="B7" s="10">
        <v>908121010</v>
      </c>
      <c r="C7" s="11" t="s">
        <v>22</v>
      </c>
      <c r="D7" s="5">
        <v>28569148</v>
      </c>
      <c r="E7" s="4">
        <v>2</v>
      </c>
      <c r="F7" s="14">
        <f>1+1</f>
        <v>2</v>
      </c>
      <c r="G7" s="6">
        <f t="shared" si="0"/>
        <v>0</v>
      </c>
      <c r="H7" s="7">
        <v>46065</v>
      </c>
      <c r="I7" s="8" t="s">
        <v>13</v>
      </c>
      <c r="J7" s="24" t="s">
        <v>160</v>
      </c>
      <c r="K7" s="4" t="s">
        <v>116</v>
      </c>
      <c r="L7" s="11"/>
    </row>
    <row r="8" spans="1:12" ht="28.5" x14ac:dyDescent="0.25">
      <c r="A8" s="4">
        <v>6</v>
      </c>
      <c r="B8" s="10">
        <v>908122011</v>
      </c>
      <c r="C8" s="11" t="s">
        <v>55</v>
      </c>
      <c r="D8" s="5">
        <v>28569148</v>
      </c>
      <c r="E8" s="4">
        <v>3</v>
      </c>
      <c r="F8" s="14">
        <v>3</v>
      </c>
      <c r="G8" s="6">
        <f t="shared" si="0"/>
        <v>0</v>
      </c>
      <c r="H8" s="7">
        <v>46065</v>
      </c>
      <c r="I8" s="8" t="s">
        <v>13</v>
      </c>
      <c r="J8" s="9">
        <v>46067</v>
      </c>
      <c r="K8" s="4" t="s">
        <v>116</v>
      </c>
      <c r="L8" s="11"/>
    </row>
    <row r="9" spans="1:12" ht="28.5" x14ac:dyDescent="0.25">
      <c r="A9" s="4">
        <v>7</v>
      </c>
      <c r="B9" s="10">
        <v>908202098</v>
      </c>
      <c r="C9" s="11" t="s">
        <v>20</v>
      </c>
      <c r="D9" s="5">
        <v>28569148</v>
      </c>
      <c r="E9" s="4">
        <v>2</v>
      </c>
      <c r="F9" s="14">
        <v>2</v>
      </c>
      <c r="G9" s="6">
        <f t="shared" si="0"/>
        <v>0</v>
      </c>
      <c r="H9" s="7">
        <v>46065</v>
      </c>
      <c r="I9" s="8" t="s">
        <v>13</v>
      </c>
      <c r="J9" s="9">
        <v>46064</v>
      </c>
      <c r="K9" s="4" t="s">
        <v>116</v>
      </c>
      <c r="L9" s="11"/>
    </row>
    <row r="10" spans="1:12" ht="28.5" x14ac:dyDescent="0.25">
      <c r="A10" s="4">
        <v>8</v>
      </c>
      <c r="B10" s="10">
        <v>908111101</v>
      </c>
      <c r="C10" s="11" t="s">
        <v>47</v>
      </c>
      <c r="D10" s="5">
        <v>28569148</v>
      </c>
      <c r="E10" s="4">
        <v>6</v>
      </c>
      <c r="F10" s="14">
        <v>6</v>
      </c>
      <c r="G10" s="6">
        <f t="shared" si="0"/>
        <v>0</v>
      </c>
      <c r="H10" s="7">
        <v>46065</v>
      </c>
      <c r="I10" s="8" t="s">
        <v>13</v>
      </c>
      <c r="J10" s="9">
        <v>46064</v>
      </c>
      <c r="K10" s="4" t="s">
        <v>116</v>
      </c>
      <c r="L10" s="11"/>
    </row>
    <row r="11" spans="1:12" ht="42" x14ac:dyDescent="0.25">
      <c r="A11" s="4">
        <v>9</v>
      </c>
      <c r="B11" s="10">
        <v>908202030</v>
      </c>
      <c r="C11" s="11" t="s">
        <v>15</v>
      </c>
      <c r="D11" s="26" t="s">
        <v>174</v>
      </c>
      <c r="E11" s="4">
        <f>2+2</f>
        <v>4</v>
      </c>
      <c r="F11" s="14"/>
      <c r="G11" s="6">
        <f t="shared" si="0"/>
        <v>4</v>
      </c>
      <c r="H11" s="7" t="s">
        <v>173</v>
      </c>
      <c r="I11" s="8" t="s">
        <v>13</v>
      </c>
      <c r="J11" s="9"/>
      <c r="K11" s="4"/>
      <c r="L11" s="11"/>
    </row>
    <row r="12" spans="1:12" ht="28.5" x14ac:dyDescent="0.25">
      <c r="A12" s="4">
        <v>10</v>
      </c>
      <c r="B12" s="10">
        <v>908312027</v>
      </c>
      <c r="C12" s="11" t="s">
        <v>33</v>
      </c>
      <c r="D12" s="5">
        <v>28547694</v>
      </c>
      <c r="E12" s="4">
        <v>1</v>
      </c>
      <c r="F12" s="14">
        <v>1</v>
      </c>
      <c r="G12" s="6">
        <f t="shared" si="0"/>
        <v>0</v>
      </c>
      <c r="H12" s="7">
        <v>46072</v>
      </c>
      <c r="I12" s="8" t="s">
        <v>13</v>
      </c>
      <c r="J12" s="9">
        <v>46064</v>
      </c>
      <c r="K12" s="4" t="s">
        <v>116</v>
      </c>
      <c r="L12" s="11"/>
    </row>
    <row r="13" spans="1:12" ht="42" x14ac:dyDescent="0.25">
      <c r="A13" s="4">
        <v>11</v>
      </c>
      <c r="B13" s="10">
        <v>908020201</v>
      </c>
      <c r="C13" s="11" t="s">
        <v>12</v>
      </c>
      <c r="D13" s="26" t="s">
        <v>174</v>
      </c>
      <c r="E13" s="4">
        <f>1+2</f>
        <v>3</v>
      </c>
      <c r="F13" s="14"/>
      <c r="G13" s="6">
        <f t="shared" si="0"/>
        <v>3</v>
      </c>
      <c r="H13" s="7" t="s">
        <v>173</v>
      </c>
      <c r="I13" s="8" t="s">
        <v>13</v>
      </c>
      <c r="J13" s="9"/>
      <c r="K13" s="4"/>
      <c r="L13" s="11"/>
    </row>
    <row r="14" spans="1:12" ht="28.5" x14ac:dyDescent="0.25">
      <c r="A14" s="4">
        <v>12</v>
      </c>
      <c r="B14" s="10">
        <v>908421025</v>
      </c>
      <c r="C14" s="11" t="s">
        <v>59</v>
      </c>
      <c r="D14" s="5">
        <v>28621997</v>
      </c>
      <c r="E14" s="4">
        <v>2</v>
      </c>
      <c r="F14" s="14">
        <v>2</v>
      </c>
      <c r="G14" s="6">
        <f t="shared" si="0"/>
        <v>0</v>
      </c>
      <c r="H14" s="7">
        <v>46072</v>
      </c>
      <c r="I14" s="8" t="s">
        <v>13</v>
      </c>
      <c r="J14" s="9">
        <v>46077</v>
      </c>
      <c r="K14" s="4" t="s">
        <v>116</v>
      </c>
      <c r="L14" s="11"/>
    </row>
    <row r="15" spans="1:12" ht="28.5" x14ac:dyDescent="0.25">
      <c r="A15" s="4">
        <v>13</v>
      </c>
      <c r="B15" s="10">
        <v>908402208</v>
      </c>
      <c r="C15" s="11" t="s">
        <v>58</v>
      </c>
      <c r="D15" s="5">
        <v>28621997</v>
      </c>
      <c r="E15" s="4">
        <v>2</v>
      </c>
      <c r="F15" s="14">
        <v>2</v>
      </c>
      <c r="G15" s="6">
        <f t="shared" si="0"/>
        <v>0</v>
      </c>
      <c r="H15" s="7">
        <v>46072</v>
      </c>
      <c r="I15" s="8" t="s">
        <v>13</v>
      </c>
      <c r="J15" s="9">
        <v>46077</v>
      </c>
      <c r="K15" s="4" t="s">
        <v>116</v>
      </c>
      <c r="L15" s="11"/>
    </row>
    <row r="16" spans="1:12" ht="28.5" x14ac:dyDescent="0.25">
      <c r="A16" s="4">
        <v>14</v>
      </c>
      <c r="B16" s="10">
        <v>908202189</v>
      </c>
      <c r="C16" s="11" t="s">
        <v>18</v>
      </c>
      <c r="D16" s="5">
        <v>28621997</v>
      </c>
      <c r="E16" s="4">
        <v>2</v>
      </c>
      <c r="F16" s="14">
        <v>2</v>
      </c>
      <c r="G16" s="6">
        <f t="shared" si="0"/>
        <v>0</v>
      </c>
      <c r="H16" s="7">
        <v>46072</v>
      </c>
      <c r="I16" s="8" t="s">
        <v>13</v>
      </c>
      <c r="J16" s="9">
        <v>46077</v>
      </c>
      <c r="K16" s="4" t="s">
        <v>116</v>
      </c>
      <c r="L16" s="11"/>
    </row>
    <row r="17" spans="1:12" ht="28.5" x14ac:dyDescent="0.25">
      <c r="A17" s="4">
        <v>15</v>
      </c>
      <c r="B17" s="10">
        <v>908111101</v>
      </c>
      <c r="C17" s="11" t="s">
        <v>47</v>
      </c>
      <c r="D17" s="5">
        <v>28621997</v>
      </c>
      <c r="E17" s="4">
        <v>4</v>
      </c>
      <c r="F17" s="14">
        <v>4</v>
      </c>
      <c r="G17" s="6">
        <f t="shared" si="0"/>
        <v>0</v>
      </c>
      <c r="H17" s="7">
        <v>46072</v>
      </c>
      <c r="I17" s="8" t="s">
        <v>13</v>
      </c>
      <c r="J17" s="9">
        <v>46077</v>
      </c>
      <c r="K17" s="4" t="s">
        <v>116</v>
      </c>
      <c r="L17" s="11"/>
    </row>
    <row r="18" spans="1:12" ht="28.5" x14ac:dyDescent="0.25">
      <c r="A18" s="4">
        <v>16</v>
      </c>
      <c r="B18" s="10">
        <v>908371003</v>
      </c>
      <c r="C18" s="11" t="s">
        <v>120</v>
      </c>
      <c r="D18" s="5">
        <v>28621997</v>
      </c>
      <c r="E18" s="4">
        <v>2</v>
      </c>
      <c r="F18" s="14">
        <v>2</v>
      </c>
      <c r="G18" s="6">
        <f t="shared" si="0"/>
        <v>0</v>
      </c>
      <c r="H18" s="7">
        <v>46072</v>
      </c>
      <c r="I18" s="8" t="s">
        <v>13</v>
      </c>
      <c r="J18" s="9">
        <v>46077</v>
      </c>
      <c r="K18" s="4" t="s">
        <v>116</v>
      </c>
      <c r="L18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8C17-B721-43A9-8A18-08F9C393668A}">
  <dimension ref="A1:L13"/>
  <sheetViews>
    <sheetView zoomScale="78" zoomScaleNormal="78" workbookViewId="0">
      <selection activeCell="E8" sqref="E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153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28540810</v>
      </c>
      <c r="E3" s="4">
        <v>5</v>
      </c>
      <c r="F3" s="14">
        <v>5</v>
      </c>
      <c r="G3" s="6">
        <f>E3-F3</f>
        <v>0</v>
      </c>
      <c r="H3" s="7">
        <v>46061</v>
      </c>
      <c r="I3" s="8" t="s">
        <v>13</v>
      </c>
      <c r="J3" s="9">
        <v>46062</v>
      </c>
      <c r="K3" s="4" t="s">
        <v>116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28540810</v>
      </c>
      <c r="E4" s="4">
        <v>2</v>
      </c>
      <c r="F4" s="14">
        <v>2</v>
      </c>
      <c r="G4" s="6">
        <f t="shared" ref="G4:G12" si="0">E4-F4</f>
        <v>0</v>
      </c>
      <c r="H4" s="7">
        <v>46061</v>
      </c>
      <c r="I4" s="8" t="s">
        <v>13</v>
      </c>
      <c r="J4" s="9">
        <v>46062</v>
      </c>
      <c r="K4" s="4" t="s">
        <v>116</v>
      </c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28540810</v>
      </c>
      <c r="E5" s="4">
        <v>2</v>
      </c>
      <c r="F5" s="14">
        <v>3</v>
      </c>
      <c r="G5" s="6">
        <f t="shared" si="0"/>
        <v>-1</v>
      </c>
      <c r="H5" s="7">
        <v>46061</v>
      </c>
      <c r="I5" s="8" t="s">
        <v>13</v>
      </c>
      <c r="J5" s="9">
        <v>46062</v>
      </c>
      <c r="K5" s="4" t="s">
        <v>116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28540810</v>
      </c>
      <c r="E6" s="4">
        <v>1</v>
      </c>
      <c r="F6" s="14">
        <v>1</v>
      </c>
      <c r="G6" s="6">
        <f t="shared" si="0"/>
        <v>0</v>
      </c>
      <c r="H6" s="7">
        <v>46061</v>
      </c>
      <c r="I6" s="8" t="s">
        <v>13</v>
      </c>
      <c r="J6" s="9">
        <v>46062</v>
      </c>
      <c r="K6" s="4" t="s">
        <v>116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28540810</v>
      </c>
      <c r="E7" s="4">
        <v>6</v>
      </c>
      <c r="F7" s="14">
        <v>6</v>
      </c>
      <c r="G7" s="6">
        <f t="shared" si="0"/>
        <v>0</v>
      </c>
      <c r="H7" s="7">
        <v>46061</v>
      </c>
      <c r="I7" s="8" t="s">
        <v>13</v>
      </c>
      <c r="J7" s="9">
        <v>46062</v>
      </c>
      <c r="K7" s="4" t="s">
        <v>116</v>
      </c>
      <c r="L7" s="11"/>
    </row>
    <row r="8" spans="1:12" ht="28.5" x14ac:dyDescent="0.25">
      <c r="A8" s="4">
        <v>6</v>
      </c>
      <c r="B8" s="12">
        <v>908421031</v>
      </c>
      <c r="C8" s="11" t="s">
        <v>111</v>
      </c>
      <c r="D8" s="5">
        <v>28540810</v>
      </c>
      <c r="E8" s="4">
        <v>2</v>
      </c>
      <c r="F8" s="14">
        <v>2</v>
      </c>
      <c r="G8" s="6">
        <f t="shared" si="0"/>
        <v>0</v>
      </c>
      <c r="H8" s="7">
        <v>46061</v>
      </c>
      <c r="I8" s="8" t="s">
        <v>13</v>
      </c>
      <c r="J8" s="9">
        <v>46062</v>
      </c>
      <c r="K8" s="4" t="s">
        <v>116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28540810</v>
      </c>
      <c r="E9" s="4">
        <v>2</v>
      </c>
      <c r="F9" s="14">
        <v>3</v>
      </c>
      <c r="G9" s="6">
        <f t="shared" si="0"/>
        <v>-1</v>
      </c>
      <c r="H9" s="7">
        <v>46061</v>
      </c>
      <c r="I9" s="8" t="s">
        <v>13</v>
      </c>
      <c r="J9" s="9">
        <v>46062</v>
      </c>
      <c r="K9" s="4" t="s">
        <v>116</v>
      </c>
      <c r="L9" s="11"/>
    </row>
    <row r="10" spans="1:12" ht="28.5" x14ac:dyDescent="0.25">
      <c r="A10" s="4">
        <v>8</v>
      </c>
      <c r="B10" s="12">
        <v>908371012</v>
      </c>
      <c r="C10" s="11" t="s">
        <v>124</v>
      </c>
      <c r="D10" s="5">
        <v>28540810</v>
      </c>
      <c r="E10" s="4">
        <v>5</v>
      </c>
      <c r="F10" s="14">
        <v>5</v>
      </c>
      <c r="G10" s="6">
        <f t="shared" si="0"/>
        <v>0</v>
      </c>
      <c r="H10" s="7">
        <v>46061</v>
      </c>
      <c r="I10" s="8" t="s">
        <v>13</v>
      </c>
      <c r="J10" s="9">
        <v>46062</v>
      </c>
      <c r="K10" s="4" t="s">
        <v>116</v>
      </c>
      <c r="L10" s="11"/>
    </row>
    <row r="11" spans="1:12" ht="28.5" x14ac:dyDescent="0.25">
      <c r="A11" s="4">
        <v>9</v>
      </c>
      <c r="B11" s="12">
        <v>908121001</v>
      </c>
      <c r="C11" s="11" t="s">
        <v>154</v>
      </c>
      <c r="D11" s="5">
        <v>28540810</v>
      </c>
      <c r="E11" s="4">
        <v>1</v>
      </c>
      <c r="F11" s="14">
        <v>1</v>
      </c>
      <c r="G11" s="6">
        <f t="shared" si="0"/>
        <v>0</v>
      </c>
      <c r="H11" s="7">
        <v>46063</v>
      </c>
      <c r="I11" s="8" t="s">
        <v>13</v>
      </c>
      <c r="J11" s="9">
        <v>46062</v>
      </c>
      <c r="K11" s="4" t="s">
        <v>116</v>
      </c>
      <c r="L11" s="11"/>
    </row>
    <row r="12" spans="1:12" ht="28.5" x14ac:dyDescent="0.25">
      <c r="A12" s="4">
        <v>10</v>
      </c>
      <c r="B12" s="12">
        <v>908111005</v>
      </c>
      <c r="C12" s="11" t="s">
        <v>51</v>
      </c>
      <c r="D12" s="5"/>
      <c r="E12" s="4"/>
      <c r="F12" s="14">
        <v>4</v>
      </c>
      <c r="G12" s="6">
        <f t="shared" si="0"/>
        <v>-4</v>
      </c>
      <c r="H12" s="7"/>
      <c r="I12" s="8"/>
      <c r="J12" s="9">
        <v>46062</v>
      </c>
      <c r="K12" s="4" t="s">
        <v>116</v>
      </c>
      <c r="L12" s="11"/>
    </row>
    <row r="13" spans="1:12" ht="28.5" x14ac:dyDescent="0.25">
      <c r="A13" s="4">
        <v>11</v>
      </c>
      <c r="B13" s="12">
        <v>908020201</v>
      </c>
      <c r="C13" s="11" t="s">
        <v>12</v>
      </c>
      <c r="D13" s="5">
        <v>28540810</v>
      </c>
      <c r="E13" s="4">
        <v>3</v>
      </c>
      <c r="F13" s="14"/>
      <c r="G13" s="6">
        <v>3</v>
      </c>
      <c r="H13" s="7">
        <v>46061</v>
      </c>
      <c r="I13" s="8" t="s">
        <v>13</v>
      </c>
      <c r="J13" s="9"/>
      <c r="K13" s="4"/>
      <c r="L13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5502-80AB-4445-AA77-E01A007AB95D}">
  <sheetPr>
    <pageSetUpPr fitToPage="1"/>
  </sheetPr>
  <dimension ref="A1:L13"/>
  <sheetViews>
    <sheetView zoomScale="78" zoomScaleNormal="78" workbookViewId="0">
      <selection activeCell="D27" sqref="D27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151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28518189</v>
      </c>
      <c r="E3" s="4">
        <v>8</v>
      </c>
      <c r="F3" s="14">
        <v>8</v>
      </c>
      <c r="G3" s="6">
        <f>E3-F3</f>
        <v>0</v>
      </c>
      <c r="H3" s="7">
        <v>46056</v>
      </c>
      <c r="I3" s="8" t="s">
        <v>13</v>
      </c>
      <c r="J3" s="9">
        <v>46057</v>
      </c>
      <c r="K3" s="4" t="s">
        <v>103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28518189</v>
      </c>
      <c r="E4" s="4">
        <v>5</v>
      </c>
      <c r="F4" s="14"/>
      <c r="G4" s="6">
        <f t="shared" ref="G4:G13" si="0">E4-F4</f>
        <v>5</v>
      </c>
      <c r="H4" s="7">
        <v>46056</v>
      </c>
      <c r="I4" s="8" t="s">
        <v>13</v>
      </c>
      <c r="J4" s="9">
        <v>46057</v>
      </c>
      <c r="K4" s="4" t="s">
        <v>103</v>
      </c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28518189</v>
      </c>
      <c r="E5" s="4">
        <v>5</v>
      </c>
      <c r="F5" s="14">
        <v>6</v>
      </c>
      <c r="G5" s="6">
        <f t="shared" si="0"/>
        <v>-1</v>
      </c>
      <c r="H5" s="7">
        <v>46056</v>
      </c>
      <c r="I5" s="8" t="s">
        <v>13</v>
      </c>
      <c r="J5" s="9">
        <v>46057</v>
      </c>
      <c r="K5" s="4" t="s">
        <v>103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28518189</v>
      </c>
      <c r="E6" s="4">
        <v>4</v>
      </c>
      <c r="F6" s="14">
        <v>4</v>
      </c>
      <c r="G6" s="6">
        <f t="shared" si="0"/>
        <v>0</v>
      </c>
      <c r="H6" s="7">
        <v>46056</v>
      </c>
      <c r="I6" s="8" t="s">
        <v>13</v>
      </c>
      <c r="J6" s="9">
        <v>46057</v>
      </c>
      <c r="K6" s="4" t="s">
        <v>103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28518189</v>
      </c>
      <c r="E7" s="4">
        <v>12</v>
      </c>
      <c r="F7" s="14">
        <v>12</v>
      </c>
      <c r="G7" s="6">
        <f t="shared" si="0"/>
        <v>0</v>
      </c>
      <c r="H7" s="7"/>
      <c r="I7" s="8" t="s">
        <v>13</v>
      </c>
      <c r="J7" s="9"/>
      <c r="K7" s="4"/>
      <c r="L7" s="11"/>
    </row>
    <row r="8" spans="1:12" ht="28.5" x14ac:dyDescent="0.25">
      <c r="A8" s="4">
        <v>6</v>
      </c>
      <c r="B8" s="12">
        <v>908421031</v>
      </c>
      <c r="C8" s="11" t="s">
        <v>111</v>
      </c>
      <c r="D8" s="5">
        <v>28518189</v>
      </c>
      <c r="E8" s="4">
        <v>2</v>
      </c>
      <c r="F8" s="14">
        <v>2</v>
      </c>
      <c r="G8" s="6">
        <f t="shared" si="0"/>
        <v>0</v>
      </c>
      <c r="H8" s="7">
        <v>46056</v>
      </c>
      <c r="I8" s="8" t="s">
        <v>13</v>
      </c>
      <c r="J8" s="9">
        <v>46057</v>
      </c>
      <c r="K8" s="4" t="s">
        <v>103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28518189</v>
      </c>
      <c r="E9" s="4">
        <v>5</v>
      </c>
      <c r="F9" s="14">
        <v>6</v>
      </c>
      <c r="G9" s="6">
        <f t="shared" si="0"/>
        <v>-1</v>
      </c>
      <c r="H9" s="7">
        <v>46056</v>
      </c>
      <c r="I9" s="8" t="s">
        <v>13</v>
      </c>
      <c r="J9" s="9">
        <v>46057</v>
      </c>
      <c r="K9" s="4" t="s">
        <v>103</v>
      </c>
      <c r="L9" s="11"/>
    </row>
    <row r="10" spans="1:12" ht="28.5" x14ac:dyDescent="0.25">
      <c r="A10" s="4">
        <v>8</v>
      </c>
      <c r="B10" s="12">
        <v>908371013</v>
      </c>
      <c r="C10" s="11" t="s">
        <v>110</v>
      </c>
      <c r="D10" s="5">
        <v>28518189</v>
      </c>
      <c r="E10" s="4">
        <v>1</v>
      </c>
      <c r="F10" s="14">
        <v>1</v>
      </c>
      <c r="G10" s="6">
        <f t="shared" si="0"/>
        <v>0</v>
      </c>
      <c r="H10" s="7">
        <v>46056</v>
      </c>
      <c r="I10" s="8" t="s">
        <v>13</v>
      </c>
      <c r="J10" s="9">
        <v>46057</v>
      </c>
      <c r="K10" s="4" t="s">
        <v>103</v>
      </c>
      <c r="L10" s="11"/>
    </row>
    <row r="11" spans="1:12" ht="28.5" x14ac:dyDescent="0.25">
      <c r="A11" s="4">
        <v>9</v>
      </c>
      <c r="B11" s="12">
        <v>908020201</v>
      </c>
      <c r="C11" s="11" t="s">
        <v>12</v>
      </c>
      <c r="D11" s="5">
        <v>28518189</v>
      </c>
      <c r="E11" s="4">
        <v>6</v>
      </c>
      <c r="F11" s="14"/>
      <c r="G11" s="6">
        <f t="shared" si="0"/>
        <v>6</v>
      </c>
      <c r="H11" s="7">
        <v>46056</v>
      </c>
      <c r="I11" s="8" t="s">
        <v>13</v>
      </c>
      <c r="J11" s="9"/>
      <c r="K11" s="4"/>
      <c r="L11" s="11"/>
    </row>
    <row r="12" spans="1:12" ht="28.5" x14ac:dyDescent="0.25">
      <c r="A12" s="4">
        <v>10</v>
      </c>
      <c r="B12" s="12">
        <v>908371012</v>
      </c>
      <c r="C12" s="11" t="s">
        <v>124</v>
      </c>
      <c r="D12" s="5">
        <v>28518189</v>
      </c>
      <c r="E12" s="4">
        <v>2</v>
      </c>
      <c r="F12" s="14">
        <v>2</v>
      </c>
      <c r="G12" s="6">
        <f t="shared" si="0"/>
        <v>0</v>
      </c>
      <c r="H12" s="7">
        <v>46056</v>
      </c>
      <c r="I12" s="8" t="s">
        <v>13</v>
      </c>
      <c r="J12" s="9">
        <v>46057</v>
      </c>
      <c r="K12" s="4" t="s">
        <v>103</v>
      </c>
      <c r="L12" s="11"/>
    </row>
    <row r="13" spans="1:12" ht="28.5" x14ac:dyDescent="0.25">
      <c r="A13" s="4">
        <v>11</v>
      </c>
      <c r="B13" s="12">
        <v>908371001</v>
      </c>
      <c r="C13" s="11" t="s">
        <v>127</v>
      </c>
      <c r="D13" s="5">
        <v>28518189</v>
      </c>
      <c r="E13" s="4">
        <v>5</v>
      </c>
      <c r="F13" s="14">
        <v>5</v>
      </c>
      <c r="G13" s="6">
        <f t="shared" si="0"/>
        <v>0</v>
      </c>
      <c r="H13" s="7">
        <v>46056</v>
      </c>
      <c r="I13" s="8" t="s">
        <v>13</v>
      </c>
      <c r="J13" s="9">
        <v>46057</v>
      </c>
      <c r="K13" s="4" t="s">
        <v>103</v>
      </c>
      <c r="L13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DE3A-2EE3-4FDF-9534-9C6FA7A1F914}">
  <dimension ref="A1:L12"/>
  <sheetViews>
    <sheetView zoomScale="78" zoomScaleNormal="78" workbookViewId="0">
      <selection activeCell="G23" sqref="G23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150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52.5" x14ac:dyDescent="0.25">
      <c r="A3" s="4">
        <v>1</v>
      </c>
      <c r="B3" s="10" t="s">
        <v>50</v>
      </c>
      <c r="C3" s="11" t="s">
        <v>51</v>
      </c>
      <c r="D3" s="5"/>
      <c r="E3" s="4"/>
      <c r="F3" s="14">
        <f>12+5</f>
        <v>17</v>
      </c>
      <c r="G3" s="6">
        <f>E3-F3</f>
        <v>-17</v>
      </c>
      <c r="H3" s="7"/>
      <c r="I3" s="8" t="s">
        <v>13</v>
      </c>
      <c r="J3" s="24" t="s">
        <v>179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/>
      <c r="E4" s="4"/>
      <c r="F4" s="14">
        <v>1</v>
      </c>
      <c r="G4" s="6">
        <f>E4-F4</f>
        <v>-1</v>
      </c>
      <c r="H4" s="7"/>
      <c r="I4" s="8"/>
      <c r="J4" s="9">
        <v>46068</v>
      </c>
      <c r="K4" s="4" t="s">
        <v>116</v>
      </c>
      <c r="L4" s="11"/>
    </row>
    <row r="5" spans="1:12" ht="28.5" x14ac:dyDescent="0.25">
      <c r="A5" s="4">
        <v>3</v>
      </c>
      <c r="B5" s="12">
        <v>908402208</v>
      </c>
      <c r="C5" s="12" t="s">
        <v>58</v>
      </c>
      <c r="D5" s="5">
        <v>28609931</v>
      </c>
      <c r="E5" s="4">
        <v>3</v>
      </c>
      <c r="F5" s="14">
        <v>3</v>
      </c>
      <c r="G5" s="6">
        <f>E5-F5</f>
        <v>0</v>
      </c>
      <c r="H5" s="7">
        <v>46071</v>
      </c>
      <c r="I5" s="8" t="s">
        <v>13</v>
      </c>
      <c r="J5" s="9">
        <v>46080</v>
      </c>
      <c r="K5" s="4" t="s">
        <v>116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28609931</v>
      </c>
      <c r="E6" s="4">
        <v>1</v>
      </c>
      <c r="F6" s="14">
        <v>1</v>
      </c>
      <c r="G6" s="6">
        <f t="shared" ref="G6:G12" si="0">E6-F6</f>
        <v>0</v>
      </c>
      <c r="H6" s="7">
        <v>46071</v>
      </c>
      <c r="I6" s="8" t="s">
        <v>13</v>
      </c>
      <c r="J6" s="9">
        <v>46080</v>
      </c>
      <c r="K6" s="4" t="s">
        <v>116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28609931</v>
      </c>
      <c r="E7" s="4">
        <v>4</v>
      </c>
      <c r="F7" s="14">
        <v>4</v>
      </c>
      <c r="G7" s="6">
        <f t="shared" si="0"/>
        <v>0</v>
      </c>
      <c r="H7" s="7">
        <v>46070</v>
      </c>
      <c r="I7" s="8" t="s">
        <v>13</v>
      </c>
      <c r="J7" s="9">
        <v>46080</v>
      </c>
      <c r="K7" s="4" t="s">
        <v>116</v>
      </c>
      <c r="L7" s="11"/>
    </row>
    <row r="8" spans="1:12" ht="28.5" x14ac:dyDescent="0.25">
      <c r="A8" s="4">
        <v>6</v>
      </c>
      <c r="B8" s="12">
        <v>908421031</v>
      </c>
      <c r="C8" s="11" t="s">
        <v>111</v>
      </c>
      <c r="D8" s="5">
        <v>28609931</v>
      </c>
      <c r="E8" s="4">
        <v>1</v>
      </c>
      <c r="F8" s="14">
        <v>1</v>
      </c>
      <c r="G8" s="6">
        <f t="shared" si="0"/>
        <v>0</v>
      </c>
      <c r="H8" s="7">
        <v>46071</v>
      </c>
      <c r="I8" s="8" t="s">
        <v>13</v>
      </c>
      <c r="J8" s="9">
        <v>46080</v>
      </c>
      <c r="K8" s="4" t="s">
        <v>116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28609931</v>
      </c>
      <c r="E9" s="4">
        <v>1</v>
      </c>
      <c r="F9" s="14">
        <v>2</v>
      </c>
      <c r="G9" s="6">
        <f t="shared" si="0"/>
        <v>-1</v>
      </c>
      <c r="H9" s="7">
        <v>46071</v>
      </c>
      <c r="I9" s="8" t="s">
        <v>13</v>
      </c>
      <c r="J9" s="9">
        <v>46080</v>
      </c>
      <c r="K9" s="4" t="s">
        <v>116</v>
      </c>
      <c r="L9" s="11"/>
    </row>
    <row r="10" spans="1:12" ht="28.5" x14ac:dyDescent="0.25">
      <c r="A10" s="4">
        <v>8</v>
      </c>
      <c r="B10" s="12">
        <v>908371013</v>
      </c>
      <c r="C10" s="11" t="s">
        <v>110</v>
      </c>
      <c r="D10" s="5">
        <v>28609931</v>
      </c>
      <c r="E10" s="4">
        <v>3</v>
      </c>
      <c r="F10" s="14">
        <v>3</v>
      </c>
      <c r="G10" s="6">
        <f t="shared" si="0"/>
        <v>0</v>
      </c>
      <c r="H10" s="7">
        <v>46071</v>
      </c>
      <c r="I10" s="8" t="s">
        <v>13</v>
      </c>
      <c r="J10" s="9">
        <v>46080</v>
      </c>
      <c r="K10" s="4" t="s">
        <v>116</v>
      </c>
      <c r="L10" s="11"/>
    </row>
    <row r="11" spans="1:12" ht="28.5" x14ac:dyDescent="0.25">
      <c r="A11" s="4">
        <v>9</v>
      </c>
      <c r="B11" s="12">
        <v>908020201</v>
      </c>
      <c r="C11" s="11" t="s">
        <v>12</v>
      </c>
      <c r="D11" s="5">
        <v>28609931</v>
      </c>
      <c r="E11" s="4">
        <v>2</v>
      </c>
      <c r="F11" s="14"/>
      <c r="G11" s="6">
        <f t="shared" si="0"/>
        <v>2</v>
      </c>
      <c r="H11" s="7">
        <v>46072</v>
      </c>
      <c r="I11" s="8" t="s">
        <v>13</v>
      </c>
      <c r="J11" s="9"/>
      <c r="K11" s="4"/>
      <c r="L11" s="11"/>
    </row>
    <row r="12" spans="1:12" ht="28.5" x14ac:dyDescent="0.25">
      <c r="A12" s="4">
        <v>10</v>
      </c>
      <c r="B12" s="12" t="s">
        <v>16</v>
      </c>
      <c r="C12" s="11" t="s">
        <v>19</v>
      </c>
      <c r="D12" s="5"/>
      <c r="E12" s="4"/>
      <c r="F12" s="14">
        <v>2</v>
      </c>
      <c r="G12" s="6">
        <f t="shared" si="0"/>
        <v>-2</v>
      </c>
      <c r="H12" s="7"/>
      <c r="I12" s="8"/>
      <c r="J12" s="9">
        <v>46080</v>
      </c>
      <c r="K12" s="4" t="s">
        <v>116</v>
      </c>
      <c r="L12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650F-9D87-4442-B49E-EF86E9EF79E6}">
  <sheetPr>
    <pageSetUpPr fitToPage="1"/>
  </sheetPr>
  <dimension ref="A1:L11"/>
  <sheetViews>
    <sheetView zoomScale="78" zoomScaleNormal="78" workbookViewId="0">
      <selection activeCell="D20" sqref="D20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145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28464876</v>
      </c>
      <c r="E3" s="4">
        <v>1</v>
      </c>
      <c r="F3" s="14">
        <v>1</v>
      </c>
      <c r="G3" s="6">
        <f>E3-F3</f>
        <v>0</v>
      </c>
      <c r="H3" s="7">
        <v>46054</v>
      </c>
      <c r="I3" s="8" t="s">
        <v>13</v>
      </c>
      <c r="J3" s="9">
        <v>46055</v>
      </c>
      <c r="K3" s="4" t="s">
        <v>116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28464876</v>
      </c>
      <c r="E4" s="4">
        <v>2</v>
      </c>
      <c r="F4" s="14"/>
      <c r="G4" s="6">
        <f t="shared" ref="G4:G11" si="0">E4-F4</f>
        <v>2</v>
      </c>
      <c r="H4" s="7">
        <v>46054</v>
      </c>
      <c r="I4" s="8" t="s">
        <v>13</v>
      </c>
      <c r="J4" s="9">
        <v>46055</v>
      </c>
      <c r="K4" s="4" t="s">
        <v>116</v>
      </c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28464876</v>
      </c>
      <c r="E5" s="4">
        <v>1</v>
      </c>
      <c r="F5" s="14">
        <v>1</v>
      </c>
      <c r="G5" s="6">
        <f t="shared" si="0"/>
        <v>0</v>
      </c>
      <c r="H5" s="7">
        <v>46054</v>
      </c>
      <c r="I5" s="8" t="s">
        <v>13</v>
      </c>
      <c r="J5" s="9">
        <v>46055</v>
      </c>
      <c r="K5" s="4" t="s">
        <v>116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28464876</v>
      </c>
      <c r="E6" s="4">
        <v>1</v>
      </c>
      <c r="F6" s="14">
        <v>1</v>
      </c>
      <c r="G6" s="6">
        <f t="shared" si="0"/>
        <v>0</v>
      </c>
      <c r="H6" s="7">
        <v>46054</v>
      </c>
      <c r="I6" s="8" t="s">
        <v>13</v>
      </c>
      <c r="J6" s="9">
        <v>46055</v>
      </c>
      <c r="K6" s="4" t="s">
        <v>116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28464876</v>
      </c>
      <c r="E7" s="4">
        <v>2</v>
      </c>
      <c r="F7" s="14">
        <v>2</v>
      </c>
      <c r="G7" s="6">
        <f t="shared" si="0"/>
        <v>0</v>
      </c>
      <c r="H7" s="7">
        <v>46054</v>
      </c>
      <c r="I7" s="8" t="s">
        <v>13</v>
      </c>
      <c r="J7" s="9">
        <v>46055</v>
      </c>
      <c r="K7" s="4" t="s">
        <v>116</v>
      </c>
      <c r="L7" s="11"/>
    </row>
    <row r="8" spans="1:12" ht="28.5" x14ac:dyDescent="0.25">
      <c r="A8" s="4">
        <v>6</v>
      </c>
      <c r="B8" s="12">
        <v>908371003</v>
      </c>
      <c r="C8" s="11" t="s">
        <v>120</v>
      </c>
      <c r="D8" s="5">
        <v>28464876</v>
      </c>
      <c r="E8" s="4">
        <v>1</v>
      </c>
      <c r="F8" s="14">
        <v>1</v>
      </c>
      <c r="G8" s="6">
        <f t="shared" si="0"/>
        <v>0</v>
      </c>
      <c r="H8" s="7">
        <v>46054</v>
      </c>
      <c r="I8" s="8" t="s">
        <v>13</v>
      </c>
      <c r="J8" s="9">
        <v>46055</v>
      </c>
      <c r="K8" s="4" t="s">
        <v>116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28464876</v>
      </c>
      <c r="E9" s="4">
        <v>1</v>
      </c>
      <c r="F9" s="14">
        <v>1</v>
      </c>
      <c r="G9" s="6">
        <f t="shared" si="0"/>
        <v>0</v>
      </c>
      <c r="H9" s="7">
        <v>46054</v>
      </c>
      <c r="I9" s="8" t="s">
        <v>13</v>
      </c>
      <c r="J9" s="9">
        <v>46055</v>
      </c>
      <c r="K9" s="4" t="s">
        <v>116</v>
      </c>
      <c r="L9" s="11"/>
    </row>
    <row r="10" spans="1:12" ht="28.5" x14ac:dyDescent="0.25">
      <c r="A10" s="4">
        <v>8</v>
      </c>
      <c r="B10" s="12">
        <v>908020201</v>
      </c>
      <c r="C10" s="11" t="s">
        <v>12</v>
      </c>
      <c r="D10" s="5">
        <v>28464876</v>
      </c>
      <c r="E10" s="4">
        <v>1</v>
      </c>
      <c r="F10" s="14"/>
      <c r="G10" s="6">
        <f t="shared" si="0"/>
        <v>1</v>
      </c>
      <c r="H10" s="7">
        <v>46054</v>
      </c>
      <c r="I10" s="8" t="s">
        <v>13</v>
      </c>
      <c r="J10" s="9">
        <v>46055</v>
      </c>
      <c r="K10" s="4" t="s">
        <v>116</v>
      </c>
      <c r="L10" s="11"/>
    </row>
    <row r="11" spans="1:12" ht="28.5" x14ac:dyDescent="0.25">
      <c r="A11" s="4">
        <v>9</v>
      </c>
      <c r="B11" s="12">
        <v>908121008</v>
      </c>
      <c r="C11" s="11" t="s">
        <v>14</v>
      </c>
      <c r="D11" s="5">
        <v>28464876</v>
      </c>
      <c r="E11" s="4">
        <v>1</v>
      </c>
      <c r="F11" s="14"/>
      <c r="G11" s="6">
        <f t="shared" si="0"/>
        <v>1</v>
      </c>
      <c r="H11" s="7">
        <v>46054</v>
      </c>
      <c r="I11" s="8" t="s">
        <v>13</v>
      </c>
      <c r="J11" s="9"/>
      <c r="K11" s="4"/>
      <c r="L11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F60E-9A91-45D0-91D8-8CF74D84C789}">
  <dimension ref="A1:L19"/>
  <sheetViews>
    <sheetView zoomScale="78" zoomScaleNormal="78" workbookViewId="0">
      <selection sqref="A1:L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131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28464915</v>
      </c>
      <c r="E3" s="4">
        <v>15</v>
      </c>
      <c r="F3" s="14">
        <f>7+8</f>
        <v>15</v>
      </c>
      <c r="G3" s="6">
        <f>E3-F3</f>
        <v>0</v>
      </c>
      <c r="H3" s="7">
        <v>46050</v>
      </c>
      <c r="I3" s="8" t="s">
        <v>13</v>
      </c>
      <c r="J3" s="9">
        <v>46051</v>
      </c>
      <c r="K3" s="4" t="s">
        <v>103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28464915</v>
      </c>
      <c r="E4" s="4">
        <v>84</v>
      </c>
      <c r="F4" s="14"/>
      <c r="G4" s="6">
        <f t="shared" ref="G4:G18" si="0">E4-F4</f>
        <v>84</v>
      </c>
      <c r="H4" s="7">
        <v>46050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28464915</v>
      </c>
      <c r="E5" s="4">
        <v>4</v>
      </c>
      <c r="F5" s="14">
        <v>8</v>
      </c>
      <c r="G5" s="6">
        <f t="shared" si="0"/>
        <v>-4</v>
      </c>
      <c r="H5" s="7">
        <v>46050</v>
      </c>
      <c r="I5" s="8" t="s">
        <v>13</v>
      </c>
      <c r="J5" s="9">
        <v>46051</v>
      </c>
      <c r="K5" s="4" t="s">
        <v>103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28464915</v>
      </c>
      <c r="E6" s="4">
        <v>1</v>
      </c>
      <c r="F6" s="14">
        <v>1</v>
      </c>
      <c r="G6" s="6">
        <f t="shared" si="0"/>
        <v>0</v>
      </c>
      <c r="H6" s="7">
        <v>46050</v>
      </c>
      <c r="I6" s="8" t="s">
        <v>13</v>
      </c>
      <c r="J6" s="9">
        <v>46051</v>
      </c>
      <c r="K6" s="4" t="s">
        <v>103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28464915</v>
      </c>
      <c r="E7" s="4">
        <v>34</v>
      </c>
      <c r="F7" s="14">
        <v>16</v>
      </c>
      <c r="G7" s="6">
        <f t="shared" si="0"/>
        <v>18</v>
      </c>
      <c r="H7" s="7">
        <v>46051</v>
      </c>
      <c r="I7" s="8" t="s">
        <v>13</v>
      </c>
      <c r="J7" s="9">
        <v>46051</v>
      </c>
      <c r="K7" s="4" t="s">
        <v>103</v>
      </c>
      <c r="L7" s="11"/>
    </row>
    <row r="8" spans="1:12" ht="28.5" x14ac:dyDescent="0.25">
      <c r="A8" s="4">
        <v>6</v>
      </c>
      <c r="B8" s="12">
        <v>908421031</v>
      </c>
      <c r="C8" s="11" t="s">
        <v>111</v>
      </c>
      <c r="D8" s="5">
        <v>28464915</v>
      </c>
      <c r="E8" s="4">
        <v>1</v>
      </c>
      <c r="F8" s="14">
        <v>7</v>
      </c>
      <c r="G8" s="6">
        <f t="shared" si="0"/>
        <v>-6</v>
      </c>
      <c r="H8" s="7">
        <v>46050</v>
      </c>
      <c r="I8" s="8" t="s">
        <v>13</v>
      </c>
      <c r="J8" s="9">
        <v>46051</v>
      </c>
      <c r="K8" s="4" t="s">
        <v>103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28464915</v>
      </c>
      <c r="E9" s="4">
        <v>5</v>
      </c>
      <c r="F9" s="14">
        <v>8</v>
      </c>
      <c r="G9" s="6">
        <f t="shared" si="0"/>
        <v>-3</v>
      </c>
      <c r="H9" s="7">
        <v>46050</v>
      </c>
      <c r="I9" s="8" t="s">
        <v>13</v>
      </c>
      <c r="J9" s="9">
        <v>46051</v>
      </c>
      <c r="K9" s="4" t="s">
        <v>103</v>
      </c>
      <c r="L9" s="11"/>
    </row>
    <row r="10" spans="1:12" ht="28.5" x14ac:dyDescent="0.25">
      <c r="A10" s="4">
        <v>8</v>
      </c>
      <c r="B10" s="12">
        <v>908371012</v>
      </c>
      <c r="C10" s="11" t="s">
        <v>124</v>
      </c>
      <c r="D10" s="5">
        <v>28464915</v>
      </c>
      <c r="E10" s="4">
        <v>2</v>
      </c>
      <c r="F10" s="14">
        <v>2</v>
      </c>
      <c r="G10" s="6">
        <f t="shared" si="0"/>
        <v>0</v>
      </c>
      <c r="H10" s="7">
        <v>46050</v>
      </c>
      <c r="I10" s="8" t="s">
        <v>13</v>
      </c>
      <c r="J10" s="9">
        <v>46051</v>
      </c>
      <c r="K10" s="4" t="s">
        <v>103</v>
      </c>
      <c r="L10" s="11"/>
    </row>
    <row r="11" spans="1:12" ht="28.5" x14ac:dyDescent="0.25">
      <c r="A11" s="4">
        <v>9</v>
      </c>
      <c r="B11" s="12">
        <v>908020201</v>
      </c>
      <c r="C11" s="11" t="s">
        <v>12</v>
      </c>
      <c r="D11" s="5">
        <v>28464915</v>
      </c>
      <c r="E11" s="4">
        <v>2</v>
      </c>
      <c r="F11" s="14"/>
      <c r="G11" s="6">
        <f t="shared" si="0"/>
        <v>2</v>
      </c>
      <c r="H11" s="7">
        <v>46050</v>
      </c>
      <c r="I11" s="8" t="s">
        <v>13</v>
      </c>
      <c r="J11" s="9"/>
      <c r="K11" s="4"/>
      <c r="L11" s="11"/>
    </row>
    <row r="12" spans="1:12" ht="28.5" x14ac:dyDescent="0.25">
      <c r="A12" s="4">
        <v>10</v>
      </c>
      <c r="B12" s="12">
        <v>908122003</v>
      </c>
      <c r="C12" s="11" t="s">
        <v>125</v>
      </c>
      <c r="D12" s="5">
        <v>28464915</v>
      </c>
      <c r="E12" s="4">
        <v>56</v>
      </c>
      <c r="F12" s="14"/>
      <c r="G12" s="6">
        <f t="shared" si="0"/>
        <v>56</v>
      </c>
      <c r="H12" s="7">
        <v>46050</v>
      </c>
      <c r="I12" s="8" t="s">
        <v>13</v>
      </c>
      <c r="J12" s="9"/>
      <c r="K12" s="4"/>
      <c r="L12" s="11"/>
    </row>
    <row r="13" spans="1:12" ht="28.5" x14ac:dyDescent="0.25">
      <c r="A13" s="4">
        <v>11</v>
      </c>
      <c r="B13" s="12">
        <v>908122008</v>
      </c>
      <c r="C13" s="11" t="s">
        <v>126</v>
      </c>
      <c r="D13" s="5">
        <v>28464915</v>
      </c>
      <c r="E13" s="4">
        <v>6</v>
      </c>
      <c r="F13" s="14"/>
      <c r="G13" s="6">
        <f t="shared" si="0"/>
        <v>6</v>
      </c>
      <c r="H13" s="7">
        <v>46050</v>
      </c>
      <c r="I13" s="8" t="s">
        <v>13</v>
      </c>
      <c r="J13" s="9"/>
      <c r="K13" s="4"/>
      <c r="L13" s="11"/>
    </row>
    <row r="14" spans="1:12" ht="28.5" x14ac:dyDescent="0.25">
      <c r="A14" s="4">
        <v>12</v>
      </c>
      <c r="B14" s="12">
        <v>908371001</v>
      </c>
      <c r="C14" s="11" t="s">
        <v>127</v>
      </c>
      <c r="D14" s="5">
        <v>28464915</v>
      </c>
      <c r="E14" s="4">
        <v>2</v>
      </c>
      <c r="F14" s="14">
        <v>2</v>
      </c>
      <c r="G14" s="6">
        <f t="shared" si="0"/>
        <v>0</v>
      </c>
      <c r="H14" s="7">
        <v>46050</v>
      </c>
      <c r="I14" s="8" t="s">
        <v>13</v>
      </c>
      <c r="J14" s="9">
        <v>46051</v>
      </c>
      <c r="K14" s="4" t="s">
        <v>103</v>
      </c>
      <c r="L14" s="11"/>
    </row>
    <row r="15" spans="1:12" ht="28.5" x14ac:dyDescent="0.25">
      <c r="A15" s="4">
        <v>13</v>
      </c>
      <c r="B15" s="12">
        <v>908371011</v>
      </c>
      <c r="C15" s="11" t="s">
        <v>128</v>
      </c>
      <c r="D15" s="5">
        <v>28464915</v>
      </c>
      <c r="E15" s="4">
        <v>9</v>
      </c>
      <c r="F15" s="14">
        <v>9</v>
      </c>
      <c r="G15" s="6">
        <f t="shared" si="0"/>
        <v>0</v>
      </c>
      <c r="H15" s="7">
        <v>46050</v>
      </c>
      <c r="I15" s="8" t="s">
        <v>13</v>
      </c>
      <c r="J15" s="9">
        <v>46051</v>
      </c>
      <c r="K15" s="4" t="s">
        <v>103</v>
      </c>
      <c r="L15" s="11"/>
    </row>
    <row r="16" spans="1:12" ht="28.5" x14ac:dyDescent="0.25">
      <c r="A16" s="4">
        <v>14</v>
      </c>
      <c r="B16" s="12">
        <v>908371013</v>
      </c>
      <c r="C16" s="11" t="s">
        <v>110</v>
      </c>
      <c r="D16" s="5">
        <v>28464915</v>
      </c>
      <c r="E16" s="4">
        <v>1</v>
      </c>
      <c r="F16" s="14">
        <v>1</v>
      </c>
      <c r="G16" s="6">
        <f t="shared" si="0"/>
        <v>0</v>
      </c>
      <c r="H16" s="7">
        <v>46050</v>
      </c>
      <c r="I16" s="8" t="s">
        <v>13</v>
      </c>
      <c r="J16" s="9">
        <v>46051</v>
      </c>
      <c r="K16" s="4" t="s">
        <v>103</v>
      </c>
      <c r="L16" s="11"/>
    </row>
    <row r="17" spans="1:12" ht="28.5" x14ac:dyDescent="0.25">
      <c r="A17" s="4">
        <v>15</v>
      </c>
      <c r="B17" s="12">
        <v>908371014</v>
      </c>
      <c r="C17" s="11" t="s">
        <v>76</v>
      </c>
      <c r="D17" s="5">
        <v>28464915</v>
      </c>
      <c r="E17" s="4">
        <v>1</v>
      </c>
      <c r="F17" s="14">
        <v>1</v>
      </c>
      <c r="G17" s="6">
        <f t="shared" si="0"/>
        <v>0</v>
      </c>
      <c r="H17" s="7">
        <v>46050</v>
      </c>
      <c r="I17" s="8" t="s">
        <v>13</v>
      </c>
      <c r="J17" s="9">
        <v>46051</v>
      </c>
      <c r="K17" s="4" t="s">
        <v>103</v>
      </c>
      <c r="L17" s="11"/>
    </row>
    <row r="18" spans="1:12" ht="28.5" x14ac:dyDescent="0.25">
      <c r="A18" s="4">
        <v>16</v>
      </c>
      <c r="B18" s="12">
        <v>908122010</v>
      </c>
      <c r="C18" s="11" t="s">
        <v>129</v>
      </c>
      <c r="D18" s="5">
        <v>28464915</v>
      </c>
      <c r="E18" s="4">
        <v>16</v>
      </c>
      <c r="F18" s="14"/>
      <c r="G18" s="6">
        <f t="shared" si="0"/>
        <v>16</v>
      </c>
      <c r="H18" s="7">
        <v>46050</v>
      </c>
      <c r="I18" s="8" t="s">
        <v>13</v>
      </c>
      <c r="J18" s="9"/>
      <c r="K18" s="4"/>
      <c r="L18" s="11"/>
    </row>
    <row r="19" spans="1:12" ht="28.5" x14ac:dyDescent="0.25">
      <c r="A19" s="4"/>
      <c r="B19" s="12"/>
      <c r="C19" s="11"/>
      <c r="D19" s="5"/>
      <c r="E19" s="4"/>
      <c r="F19" s="14"/>
      <c r="G19" s="6"/>
      <c r="H19" s="7"/>
      <c r="I19" s="8"/>
      <c r="J19" s="9"/>
      <c r="K19" s="4"/>
      <c r="L19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EBFF-6AD8-4073-B0A0-91C6C9A51191}">
  <dimension ref="A1:L12"/>
  <sheetViews>
    <sheetView zoomScale="78" zoomScaleNormal="78" workbookViewId="0">
      <selection activeCell="E26" sqref="E26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28464950</v>
      </c>
      <c r="E3" s="4">
        <v>5</v>
      </c>
      <c r="F3" s="14">
        <v>5</v>
      </c>
      <c r="G3" s="6">
        <f>E3-F3</f>
        <v>0</v>
      </c>
      <c r="H3" s="7">
        <v>46050</v>
      </c>
      <c r="I3" s="8" t="s">
        <v>13</v>
      </c>
      <c r="J3" s="9">
        <v>46051</v>
      </c>
      <c r="K3" s="4" t="s">
        <v>116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28464950</v>
      </c>
      <c r="E4" s="4">
        <v>3</v>
      </c>
      <c r="F4" s="14"/>
      <c r="G4" s="6">
        <f t="shared" ref="G4:G11" si="0">E4-F4</f>
        <v>3</v>
      </c>
      <c r="H4" s="7">
        <v>46050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28464950</v>
      </c>
      <c r="E5" s="4">
        <v>2</v>
      </c>
      <c r="F5" s="14">
        <v>2</v>
      </c>
      <c r="G5" s="6">
        <f t="shared" si="0"/>
        <v>0</v>
      </c>
      <c r="H5" s="7">
        <v>46050</v>
      </c>
      <c r="I5" s="8" t="s">
        <v>13</v>
      </c>
      <c r="J5" s="9">
        <v>46051</v>
      </c>
      <c r="K5" s="4" t="s">
        <v>116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28464950</v>
      </c>
      <c r="E6" s="4">
        <v>1</v>
      </c>
      <c r="F6" s="14">
        <v>1</v>
      </c>
      <c r="G6" s="6">
        <f t="shared" si="0"/>
        <v>0</v>
      </c>
      <c r="H6" s="7">
        <v>46050</v>
      </c>
      <c r="I6" s="8" t="s">
        <v>13</v>
      </c>
      <c r="J6" s="9">
        <v>46051</v>
      </c>
      <c r="K6" s="4" t="s">
        <v>116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28464950</v>
      </c>
      <c r="E7" s="4">
        <v>6</v>
      </c>
      <c r="F7" s="14">
        <v>6</v>
      </c>
      <c r="G7" s="6">
        <f t="shared" si="0"/>
        <v>0</v>
      </c>
      <c r="H7" s="7">
        <v>46051</v>
      </c>
      <c r="I7" s="8" t="s">
        <v>13</v>
      </c>
      <c r="J7" s="9">
        <v>46051</v>
      </c>
      <c r="K7" s="4" t="s">
        <v>116</v>
      </c>
      <c r="L7" s="11"/>
    </row>
    <row r="8" spans="1:12" ht="28.5" x14ac:dyDescent="0.25">
      <c r="A8" s="4">
        <v>6</v>
      </c>
      <c r="B8" s="12">
        <v>908421031</v>
      </c>
      <c r="C8" s="11" t="s">
        <v>111</v>
      </c>
      <c r="D8" s="5">
        <v>28464950</v>
      </c>
      <c r="E8" s="4">
        <v>2</v>
      </c>
      <c r="F8" s="14">
        <v>2</v>
      </c>
      <c r="G8" s="6">
        <f t="shared" si="0"/>
        <v>0</v>
      </c>
      <c r="H8" s="7">
        <v>46050</v>
      </c>
      <c r="I8" s="8" t="s">
        <v>13</v>
      </c>
      <c r="J8" s="9">
        <v>46051</v>
      </c>
      <c r="K8" s="4" t="s">
        <v>116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28464950</v>
      </c>
      <c r="E9" s="4">
        <v>2</v>
      </c>
      <c r="F9" s="14">
        <v>3</v>
      </c>
      <c r="G9" s="6">
        <f t="shared" si="0"/>
        <v>-1</v>
      </c>
      <c r="H9" s="7">
        <v>46050</v>
      </c>
      <c r="I9" s="8" t="s">
        <v>13</v>
      </c>
      <c r="J9" s="9">
        <v>46051</v>
      </c>
      <c r="K9" s="4" t="s">
        <v>116</v>
      </c>
      <c r="L9" s="11"/>
    </row>
    <row r="10" spans="1:12" ht="28.5" x14ac:dyDescent="0.25">
      <c r="A10" s="4">
        <v>8</v>
      </c>
      <c r="B10" s="12">
        <v>908371012</v>
      </c>
      <c r="C10" s="11" t="s">
        <v>124</v>
      </c>
      <c r="D10" s="5">
        <v>28464950</v>
      </c>
      <c r="E10" s="4">
        <v>5</v>
      </c>
      <c r="F10" s="14">
        <v>5</v>
      </c>
      <c r="G10" s="6">
        <f t="shared" si="0"/>
        <v>0</v>
      </c>
      <c r="H10" s="7">
        <v>46050</v>
      </c>
      <c r="I10" s="8" t="s">
        <v>13</v>
      </c>
      <c r="J10" s="9">
        <v>46051</v>
      </c>
      <c r="K10" s="4" t="s">
        <v>116</v>
      </c>
      <c r="L10" s="11"/>
    </row>
    <row r="11" spans="1:12" ht="28.5" x14ac:dyDescent="0.25">
      <c r="A11" s="4">
        <v>9</v>
      </c>
      <c r="B11" s="12">
        <v>908020201</v>
      </c>
      <c r="C11" s="11" t="s">
        <v>12</v>
      </c>
      <c r="D11" s="5">
        <v>28464950</v>
      </c>
      <c r="E11" s="4">
        <v>3</v>
      </c>
      <c r="F11" s="14"/>
      <c r="G11" s="6">
        <f t="shared" si="0"/>
        <v>3</v>
      </c>
      <c r="H11" s="7">
        <v>46050</v>
      </c>
      <c r="I11" s="8" t="s">
        <v>13</v>
      </c>
      <c r="J11" s="9"/>
      <c r="K11" s="4"/>
      <c r="L11" s="11"/>
    </row>
    <row r="12" spans="1:12" ht="28.5" x14ac:dyDescent="0.25">
      <c r="A12" s="4">
        <v>10</v>
      </c>
      <c r="B12" s="12"/>
      <c r="C12" s="11"/>
      <c r="D12" s="5"/>
      <c r="E12" s="4"/>
      <c r="F12" s="14"/>
      <c r="G12" s="6"/>
      <c r="H12" s="7"/>
      <c r="I12" s="8"/>
      <c r="J12" s="9"/>
      <c r="K12" s="4"/>
      <c r="L12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E166-13C6-414B-81BF-231D0E030E1E}">
  <sheetPr>
    <pageSetUpPr fitToPage="1"/>
  </sheetPr>
  <dimension ref="A1:L3"/>
  <sheetViews>
    <sheetView zoomScale="78" zoomScaleNormal="78" workbookViewId="0">
      <selection sqref="A1:L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908371014</v>
      </c>
      <c r="C3" s="11" t="s">
        <v>76</v>
      </c>
      <c r="D3" s="5">
        <v>28446259</v>
      </c>
      <c r="E3" s="4">
        <v>1</v>
      </c>
      <c r="F3" s="14">
        <v>1</v>
      </c>
      <c r="G3" s="6">
        <f t="shared" ref="G3" si="0">E3-F3</f>
        <v>0</v>
      </c>
      <c r="H3" s="7">
        <v>46047</v>
      </c>
      <c r="I3" s="8" t="s">
        <v>13</v>
      </c>
      <c r="J3" s="9">
        <v>46050</v>
      </c>
      <c r="K3" s="4" t="s">
        <v>116</v>
      </c>
      <c r="L3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3A59-9A9F-4079-A13B-72E4DED4F461}">
  <sheetPr>
    <pageSetUpPr fitToPage="1"/>
  </sheetPr>
  <dimension ref="A1:L3"/>
  <sheetViews>
    <sheetView zoomScale="78" zoomScaleNormal="78" workbookViewId="0">
      <selection activeCell="C17" sqref="C17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908371003</v>
      </c>
      <c r="C3" s="12" t="s">
        <v>132</v>
      </c>
      <c r="D3" s="5">
        <v>28448578</v>
      </c>
      <c r="E3" s="4">
        <v>2</v>
      </c>
      <c r="F3" s="14">
        <v>2</v>
      </c>
      <c r="G3" s="6">
        <f>E3-F3</f>
        <v>0</v>
      </c>
      <c r="H3" s="7">
        <v>46047</v>
      </c>
      <c r="I3" s="8" t="s">
        <v>13</v>
      </c>
      <c r="J3" s="9">
        <v>46050</v>
      </c>
      <c r="K3" s="4" t="s">
        <v>116</v>
      </c>
      <c r="L3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69EA-E5CB-4D0A-A5BB-272C8852B874}">
  <dimension ref="A1:L5"/>
  <sheetViews>
    <sheetView zoomScale="78" zoomScaleNormal="78" workbookViewId="0">
      <selection activeCell="C19" sqref="C19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908121010</v>
      </c>
      <c r="C3" s="11" t="s">
        <v>22</v>
      </c>
      <c r="D3" s="5">
        <v>28429035</v>
      </c>
      <c r="E3" s="4">
        <v>1</v>
      </c>
      <c r="F3" s="14">
        <v>1</v>
      </c>
      <c r="G3" s="6">
        <f>E3-F3</f>
        <v>0</v>
      </c>
      <c r="H3" s="7">
        <v>46043</v>
      </c>
      <c r="I3" s="8" t="s">
        <v>13</v>
      </c>
      <c r="J3" s="9">
        <v>46130</v>
      </c>
      <c r="K3" s="4" t="s">
        <v>188</v>
      </c>
      <c r="L3" s="11"/>
    </row>
    <row r="4" spans="1:12" ht="28.5" x14ac:dyDescent="0.25">
      <c r="A4" s="4">
        <v>2</v>
      </c>
      <c r="B4" s="10">
        <v>908122011</v>
      </c>
      <c r="C4" s="11" t="s">
        <v>55</v>
      </c>
      <c r="D4" s="5">
        <v>28429035</v>
      </c>
      <c r="E4" s="4">
        <v>3</v>
      </c>
      <c r="F4" s="14">
        <v>3</v>
      </c>
      <c r="G4" s="6">
        <f>E4-F4</f>
        <v>0</v>
      </c>
      <c r="H4" s="7">
        <v>46043</v>
      </c>
      <c r="I4" s="8" t="s">
        <v>13</v>
      </c>
      <c r="J4" s="9">
        <v>46130</v>
      </c>
      <c r="K4" s="4" t="s">
        <v>188</v>
      </c>
      <c r="L4" s="11"/>
    </row>
    <row r="5" spans="1:12" ht="28.5" x14ac:dyDescent="0.25">
      <c r="A5" s="4">
        <v>3</v>
      </c>
      <c r="B5" s="10" t="s">
        <v>52</v>
      </c>
      <c r="C5" s="11" t="s">
        <v>53</v>
      </c>
      <c r="D5" s="5">
        <v>28429035</v>
      </c>
      <c r="E5" s="4">
        <v>18</v>
      </c>
      <c r="F5" s="14">
        <v>21</v>
      </c>
      <c r="G5" s="6">
        <f>E5-F5</f>
        <v>-3</v>
      </c>
      <c r="H5" s="7">
        <v>46048</v>
      </c>
      <c r="I5" s="8" t="s">
        <v>13</v>
      </c>
      <c r="J5" s="9">
        <v>46050</v>
      </c>
      <c r="K5" s="4" t="s">
        <v>116</v>
      </c>
      <c r="L5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533D-1E7E-4797-9A3D-C7390FB1FFA9}">
  <dimension ref="A1:L18"/>
  <sheetViews>
    <sheetView zoomScale="78" zoomScaleNormal="78" workbookViewId="0">
      <selection activeCell="G22" sqref="G22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50</v>
      </c>
      <c r="C3" s="11" t="s">
        <v>51</v>
      </c>
      <c r="D3" s="5">
        <v>28419610</v>
      </c>
      <c r="E3" s="4">
        <v>100</v>
      </c>
      <c r="F3" s="14">
        <v>100</v>
      </c>
      <c r="G3" s="6">
        <f>E3-F3</f>
        <v>0</v>
      </c>
      <c r="H3" s="7">
        <v>46040</v>
      </c>
      <c r="I3" s="8" t="s">
        <v>13</v>
      </c>
      <c r="J3" s="9">
        <v>46046</v>
      </c>
      <c r="K3" s="4" t="s">
        <v>116</v>
      </c>
      <c r="L3" s="11"/>
    </row>
    <row r="4" spans="1:12" ht="28.5" x14ac:dyDescent="0.25">
      <c r="A4" s="4">
        <v>2</v>
      </c>
      <c r="B4" s="10" t="s">
        <v>52</v>
      </c>
      <c r="C4" s="11" t="s">
        <v>53</v>
      </c>
      <c r="D4" s="5">
        <v>28419610</v>
      </c>
      <c r="E4" s="4">
        <v>45</v>
      </c>
      <c r="F4" s="14">
        <v>48</v>
      </c>
      <c r="G4" s="6">
        <f t="shared" ref="G4:G18" si="0">E4-F4</f>
        <v>-3</v>
      </c>
      <c r="H4" s="7">
        <v>46040</v>
      </c>
      <c r="I4" s="8" t="s">
        <v>13</v>
      </c>
      <c r="J4" s="9">
        <v>46046</v>
      </c>
      <c r="K4" s="4" t="s">
        <v>116</v>
      </c>
      <c r="L4" s="11"/>
    </row>
    <row r="5" spans="1:12" ht="52.5" x14ac:dyDescent="0.25">
      <c r="A5" s="4">
        <v>3</v>
      </c>
      <c r="B5" s="10" t="s">
        <v>16</v>
      </c>
      <c r="C5" s="11" t="s">
        <v>19</v>
      </c>
      <c r="D5" s="26" t="s">
        <v>161</v>
      </c>
      <c r="E5" s="4">
        <f>2+2</f>
        <v>4</v>
      </c>
      <c r="F5" s="14">
        <f>2+4</f>
        <v>6</v>
      </c>
      <c r="G5" s="6">
        <f t="shared" si="0"/>
        <v>-2</v>
      </c>
      <c r="H5" s="7" t="s">
        <v>162</v>
      </c>
      <c r="I5" s="8" t="s">
        <v>13</v>
      </c>
      <c r="J5" s="24" t="s">
        <v>164</v>
      </c>
      <c r="K5" s="4" t="s">
        <v>116</v>
      </c>
      <c r="L5" s="11"/>
    </row>
    <row r="6" spans="1:12" ht="28.5" x14ac:dyDescent="0.25">
      <c r="A6" s="4">
        <v>4</v>
      </c>
      <c r="B6" s="10">
        <v>908121008</v>
      </c>
      <c r="C6" s="11" t="s">
        <v>14</v>
      </c>
      <c r="D6" s="5">
        <v>28419610</v>
      </c>
      <c r="E6" s="4">
        <v>2</v>
      </c>
      <c r="F6" s="14">
        <v>2</v>
      </c>
      <c r="G6" s="6">
        <f t="shared" si="0"/>
        <v>0</v>
      </c>
      <c r="H6" s="7">
        <v>46043</v>
      </c>
      <c r="I6" s="8" t="s">
        <v>13</v>
      </c>
      <c r="J6" s="9">
        <v>46046</v>
      </c>
      <c r="K6" s="4" t="s">
        <v>116</v>
      </c>
      <c r="L6" s="11"/>
    </row>
    <row r="7" spans="1:12" ht="52.5" x14ac:dyDescent="0.25">
      <c r="A7" s="4">
        <v>5</v>
      </c>
      <c r="B7" s="10">
        <v>908121010</v>
      </c>
      <c r="C7" s="11" t="s">
        <v>22</v>
      </c>
      <c r="D7" s="5">
        <v>28419610</v>
      </c>
      <c r="E7" s="4">
        <v>2</v>
      </c>
      <c r="F7" s="14">
        <f>1+1</f>
        <v>2</v>
      </c>
      <c r="G7" s="6">
        <f t="shared" si="0"/>
        <v>0</v>
      </c>
      <c r="H7" s="7">
        <v>46043</v>
      </c>
      <c r="I7" s="8" t="s">
        <v>13</v>
      </c>
      <c r="J7" s="24" t="s">
        <v>152</v>
      </c>
      <c r="K7" s="4" t="s">
        <v>116</v>
      </c>
      <c r="L7" s="11"/>
    </row>
    <row r="8" spans="1:12" ht="28.5" x14ac:dyDescent="0.25">
      <c r="A8" s="4">
        <v>6</v>
      </c>
      <c r="B8" s="10">
        <v>908122011</v>
      </c>
      <c r="C8" s="11" t="s">
        <v>55</v>
      </c>
      <c r="D8" s="5">
        <v>28419610</v>
      </c>
      <c r="E8" s="4">
        <v>3</v>
      </c>
      <c r="F8" s="14">
        <v>3</v>
      </c>
      <c r="G8" s="6">
        <f t="shared" si="0"/>
        <v>0</v>
      </c>
      <c r="H8" s="7">
        <v>46043</v>
      </c>
      <c r="I8" s="8" t="s">
        <v>13</v>
      </c>
      <c r="J8" s="9">
        <v>46061</v>
      </c>
      <c r="K8" s="4" t="s">
        <v>116</v>
      </c>
      <c r="L8" s="11"/>
    </row>
    <row r="9" spans="1:12" ht="28.5" x14ac:dyDescent="0.25">
      <c r="A9" s="4">
        <v>7</v>
      </c>
      <c r="B9" s="10">
        <v>908202098</v>
      </c>
      <c r="C9" s="11" t="s">
        <v>20</v>
      </c>
      <c r="D9" s="5">
        <v>28419610</v>
      </c>
      <c r="E9" s="4">
        <v>2</v>
      </c>
      <c r="F9" s="14">
        <v>2</v>
      </c>
      <c r="G9" s="6">
        <f t="shared" si="0"/>
        <v>0</v>
      </c>
      <c r="H9" s="7">
        <v>46043</v>
      </c>
      <c r="I9" s="8" t="s">
        <v>13</v>
      </c>
      <c r="J9" s="9">
        <v>46046</v>
      </c>
      <c r="K9" s="4" t="s">
        <v>116</v>
      </c>
      <c r="L9" s="11"/>
    </row>
    <row r="10" spans="1:12" ht="52.5" x14ac:dyDescent="0.25">
      <c r="A10" s="4">
        <v>8</v>
      </c>
      <c r="B10" s="10">
        <v>908111101</v>
      </c>
      <c r="C10" s="11" t="s">
        <v>47</v>
      </c>
      <c r="D10" s="26" t="s">
        <v>161</v>
      </c>
      <c r="E10" s="4">
        <v>14</v>
      </c>
      <c r="F10" s="14">
        <f>6+8</f>
        <v>14</v>
      </c>
      <c r="G10" s="6">
        <f t="shared" si="0"/>
        <v>0</v>
      </c>
      <c r="H10" s="7"/>
      <c r="I10" s="8" t="s">
        <v>13</v>
      </c>
      <c r="J10" s="24" t="s">
        <v>164</v>
      </c>
      <c r="K10" s="4" t="s">
        <v>116</v>
      </c>
      <c r="L10" s="11"/>
    </row>
    <row r="11" spans="1:12" ht="42" x14ac:dyDescent="0.25">
      <c r="A11" s="4">
        <v>9</v>
      </c>
      <c r="B11" s="10">
        <v>908202030</v>
      </c>
      <c r="C11" s="11" t="s">
        <v>15</v>
      </c>
      <c r="D11" s="26" t="s">
        <v>161</v>
      </c>
      <c r="E11" s="4">
        <f>2+4</f>
        <v>6</v>
      </c>
      <c r="F11" s="14">
        <v>2</v>
      </c>
      <c r="G11" s="6">
        <f t="shared" si="0"/>
        <v>4</v>
      </c>
      <c r="H11" s="7" t="s">
        <v>162</v>
      </c>
      <c r="I11" s="8" t="s">
        <v>13</v>
      </c>
      <c r="J11" s="9">
        <v>46046</v>
      </c>
      <c r="K11" s="4" t="s">
        <v>116</v>
      </c>
      <c r="L11" s="11"/>
    </row>
    <row r="12" spans="1:12" ht="28.5" x14ac:dyDescent="0.25">
      <c r="A12" s="4">
        <v>10</v>
      </c>
      <c r="B12" s="10">
        <v>908312027</v>
      </c>
      <c r="C12" s="11" t="s">
        <v>33</v>
      </c>
      <c r="D12" s="5">
        <v>28419610</v>
      </c>
      <c r="E12" s="4">
        <v>1</v>
      </c>
      <c r="F12" s="14">
        <v>1</v>
      </c>
      <c r="G12" s="6">
        <f t="shared" si="0"/>
        <v>0</v>
      </c>
      <c r="H12" s="7">
        <v>46050</v>
      </c>
      <c r="I12" s="8" t="s">
        <v>13</v>
      </c>
      <c r="J12" s="9">
        <v>46046</v>
      </c>
      <c r="K12" s="4" t="s">
        <v>116</v>
      </c>
      <c r="L12" s="11"/>
    </row>
    <row r="13" spans="1:12" ht="42" x14ac:dyDescent="0.25">
      <c r="A13" s="4">
        <v>11</v>
      </c>
      <c r="B13" s="10">
        <v>908020201</v>
      </c>
      <c r="C13" s="11" t="s">
        <v>12</v>
      </c>
      <c r="D13" s="26" t="s">
        <v>161</v>
      </c>
      <c r="E13" s="4">
        <f>1+4</f>
        <v>5</v>
      </c>
      <c r="F13" s="14"/>
      <c r="G13" s="6">
        <f t="shared" si="0"/>
        <v>5</v>
      </c>
      <c r="H13" s="7" t="s">
        <v>163</v>
      </c>
      <c r="I13" s="8" t="s">
        <v>13</v>
      </c>
      <c r="J13" s="9"/>
      <c r="K13" s="4"/>
      <c r="L13" s="11"/>
    </row>
    <row r="14" spans="1:12" ht="28.5" x14ac:dyDescent="0.25">
      <c r="A14" s="4">
        <v>12</v>
      </c>
      <c r="B14" s="10">
        <v>908402208</v>
      </c>
      <c r="C14" s="11" t="s">
        <v>58</v>
      </c>
      <c r="D14" s="5">
        <v>28578437</v>
      </c>
      <c r="E14" s="4">
        <v>7</v>
      </c>
      <c r="F14" s="14">
        <v>7</v>
      </c>
      <c r="G14" s="6">
        <f t="shared" si="0"/>
        <v>0</v>
      </c>
      <c r="H14" s="7">
        <v>46065</v>
      </c>
      <c r="I14" s="8" t="s">
        <v>13</v>
      </c>
      <c r="J14" s="9">
        <v>46158</v>
      </c>
      <c r="K14" s="4" t="s">
        <v>116</v>
      </c>
      <c r="L14" s="11"/>
    </row>
    <row r="15" spans="1:12" ht="28.5" x14ac:dyDescent="0.25">
      <c r="A15" s="4">
        <v>13</v>
      </c>
      <c r="B15" s="12">
        <v>908371001</v>
      </c>
      <c r="C15" s="11" t="s">
        <v>127</v>
      </c>
      <c r="D15" s="5">
        <v>28578437</v>
      </c>
      <c r="E15" s="4">
        <v>7</v>
      </c>
      <c r="F15" s="14">
        <v>7</v>
      </c>
      <c r="G15" s="6">
        <f t="shared" si="0"/>
        <v>0</v>
      </c>
      <c r="H15" s="7">
        <v>46065</v>
      </c>
      <c r="I15" s="8" t="s">
        <v>13</v>
      </c>
      <c r="J15" s="9">
        <v>46158</v>
      </c>
      <c r="K15" s="4" t="s">
        <v>116</v>
      </c>
      <c r="L15" s="11"/>
    </row>
    <row r="16" spans="1:12" ht="28.5" x14ac:dyDescent="0.25">
      <c r="A16" s="4">
        <v>14</v>
      </c>
      <c r="B16" s="10">
        <v>908421025</v>
      </c>
      <c r="C16" s="11" t="s">
        <v>59</v>
      </c>
      <c r="D16" s="5">
        <v>28578437</v>
      </c>
      <c r="E16" s="4">
        <v>1</v>
      </c>
      <c r="F16" s="14">
        <v>1</v>
      </c>
      <c r="G16" s="6">
        <f t="shared" si="0"/>
        <v>0</v>
      </c>
      <c r="H16" s="7">
        <v>46065</v>
      </c>
      <c r="I16" s="8" t="s">
        <v>13</v>
      </c>
      <c r="J16" s="9">
        <v>46158</v>
      </c>
      <c r="K16" s="4" t="s">
        <v>116</v>
      </c>
      <c r="L16" s="11"/>
    </row>
    <row r="17" spans="1:12" ht="28.5" x14ac:dyDescent="0.25">
      <c r="A17" s="4">
        <v>15</v>
      </c>
      <c r="B17" s="10">
        <v>908421031</v>
      </c>
      <c r="C17" s="11" t="s">
        <v>111</v>
      </c>
      <c r="D17" s="5">
        <v>28578437</v>
      </c>
      <c r="E17" s="4">
        <v>3</v>
      </c>
      <c r="F17" s="14">
        <v>3</v>
      </c>
      <c r="G17" s="6">
        <f t="shared" si="0"/>
        <v>0</v>
      </c>
      <c r="H17" s="7">
        <v>46065</v>
      </c>
      <c r="I17" s="8" t="s">
        <v>13</v>
      </c>
      <c r="J17" s="9">
        <v>46158</v>
      </c>
      <c r="K17" s="4" t="s">
        <v>116</v>
      </c>
      <c r="L17" s="11"/>
    </row>
    <row r="18" spans="1:12" ht="28.5" x14ac:dyDescent="0.25">
      <c r="A18" s="4">
        <v>16</v>
      </c>
      <c r="B18" s="10">
        <v>908202189</v>
      </c>
      <c r="C18" s="11" t="s">
        <v>18</v>
      </c>
      <c r="D18" s="5">
        <v>28578437</v>
      </c>
      <c r="E18" s="4">
        <v>4</v>
      </c>
      <c r="F18" s="14">
        <v>4</v>
      </c>
      <c r="G18" s="6">
        <f t="shared" si="0"/>
        <v>0</v>
      </c>
      <c r="H18" s="7">
        <v>46065</v>
      </c>
      <c r="I18" s="8" t="s">
        <v>13</v>
      </c>
      <c r="J18" s="9">
        <v>46158</v>
      </c>
      <c r="K18" s="4" t="s">
        <v>116</v>
      </c>
      <c r="L18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D66D-3539-4119-96ED-00A36A42014A}">
  <sheetPr>
    <pageSetUpPr fitToPage="1"/>
  </sheetPr>
  <dimension ref="A1:L11"/>
  <sheetViews>
    <sheetView zoomScale="78" zoomScaleNormal="78" workbookViewId="0">
      <selection activeCell="C28" sqref="C28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109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28305345</v>
      </c>
      <c r="E3" s="4">
        <v>5</v>
      </c>
      <c r="F3" s="14"/>
      <c r="G3" s="6">
        <f>E3-F3</f>
        <v>5</v>
      </c>
      <c r="H3" s="7">
        <v>46043</v>
      </c>
      <c r="I3" s="8" t="s">
        <v>13</v>
      </c>
      <c r="J3" s="9"/>
      <c r="K3" s="4"/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28305345</v>
      </c>
      <c r="E4" s="4">
        <v>2</v>
      </c>
      <c r="F4" s="14"/>
      <c r="G4" s="6">
        <f t="shared" ref="G4:G11" si="0">E4-F4</f>
        <v>2</v>
      </c>
      <c r="H4" s="7">
        <v>46043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28305345</v>
      </c>
      <c r="E5" s="4">
        <v>2</v>
      </c>
      <c r="F5" s="14"/>
      <c r="G5" s="6">
        <f t="shared" si="0"/>
        <v>2</v>
      </c>
      <c r="H5" s="7">
        <v>46043</v>
      </c>
      <c r="I5" s="8" t="s">
        <v>13</v>
      </c>
      <c r="J5" s="9"/>
      <c r="K5" s="4"/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28305345</v>
      </c>
      <c r="E6" s="4">
        <v>1</v>
      </c>
      <c r="F6" s="14"/>
      <c r="G6" s="6">
        <f t="shared" si="0"/>
        <v>1</v>
      </c>
      <c r="H6" s="7">
        <v>46043</v>
      </c>
      <c r="I6" s="8" t="s">
        <v>13</v>
      </c>
      <c r="J6" s="9"/>
      <c r="K6" s="4"/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/>
      <c r="E7" s="4"/>
      <c r="F7" s="14"/>
      <c r="G7" s="6">
        <f t="shared" si="0"/>
        <v>0</v>
      </c>
      <c r="H7" s="7"/>
      <c r="I7" s="8" t="s">
        <v>13</v>
      </c>
      <c r="J7" s="9"/>
      <c r="K7" s="4"/>
      <c r="L7" s="11"/>
    </row>
    <row r="8" spans="1:12" ht="28.5" x14ac:dyDescent="0.25">
      <c r="A8" s="4">
        <v>6</v>
      </c>
      <c r="B8" s="12">
        <v>908421031</v>
      </c>
      <c r="C8" s="11" t="s">
        <v>111</v>
      </c>
      <c r="D8" s="5">
        <v>28305345</v>
      </c>
      <c r="E8" s="4">
        <v>2</v>
      </c>
      <c r="F8" s="14"/>
      <c r="G8" s="6">
        <f t="shared" si="0"/>
        <v>2</v>
      </c>
      <c r="H8" s="7">
        <v>46043</v>
      </c>
      <c r="I8" s="8" t="s">
        <v>13</v>
      </c>
      <c r="J8" s="9"/>
      <c r="K8" s="4"/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28415052</v>
      </c>
      <c r="E9" s="4">
        <v>2</v>
      </c>
      <c r="F9" s="14"/>
      <c r="G9" s="6">
        <f t="shared" si="0"/>
        <v>2</v>
      </c>
      <c r="H9" s="7">
        <v>46047</v>
      </c>
      <c r="I9" s="8" t="s">
        <v>13</v>
      </c>
      <c r="J9" s="9"/>
      <c r="K9" s="4"/>
      <c r="L9" s="11"/>
    </row>
    <row r="10" spans="1:12" ht="28.5" x14ac:dyDescent="0.25">
      <c r="A10" s="4">
        <v>8</v>
      </c>
      <c r="B10" s="12">
        <v>908371013</v>
      </c>
      <c r="C10" s="11" t="s">
        <v>110</v>
      </c>
      <c r="D10" s="5">
        <v>28305345</v>
      </c>
      <c r="E10" s="4">
        <v>5</v>
      </c>
      <c r="F10" s="14"/>
      <c r="G10" s="6">
        <f t="shared" si="0"/>
        <v>5</v>
      </c>
      <c r="H10" s="7">
        <v>46043</v>
      </c>
      <c r="I10" s="8" t="s">
        <v>13</v>
      </c>
      <c r="J10" s="9"/>
      <c r="K10" s="4"/>
      <c r="L10" s="11"/>
    </row>
    <row r="11" spans="1:12" ht="28.5" x14ac:dyDescent="0.25">
      <c r="A11" s="4">
        <v>9</v>
      </c>
      <c r="B11" s="12">
        <v>908020201</v>
      </c>
      <c r="C11" s="11" t="s">
        <v>12</v>
      </c>
      <c r="D11" s="5">
        <v>28415052</v>
      </c>
      <c r="E11" s="4">
        <v>3</v>
      </c>
      <c r="F11" s="14"/>
      <c r="G11" s="6">
        <f t="shared" si="0"/>
        <v>3</v>
      </c>
      <c r="H11" s="7">
        <v>46047</v>
      </c>
      <c r="I11" s="8" t="s">
        <v>13</v>
      </c>
      <c r="J11" s="9"/>
      <c r="K11" s="4"/>
      <c r="L11" s="11"/>
    </row>
  </sheetData>
  <mergeCells count="1">
    <mergeCell ref="A1:L1"/>
  </mergeCells>
  <pageMargins left="0.25" right="0.25" top="0.75" bottom="0.75" header="0.3" footer="0.3"/>
  <pageSetup scale="30" fitToHeight="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B7D6-FF77-49E3-BD07-E85B0BD8AFEB}">
  <dimension ref="A1:L27"/>
  <sheetViews>
    <sheetView zoomScale="78" zoomScaleNormal="78" workbookViewId="0">
      <selection activeCell="G23" sqref="G23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105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 t="s">
        <v>52</v>
      </c>
      <c r="C3" s="11" t="s">
        <v>53</v>
      </c>
      <c r="D3" s="5">
        <v>28452129</v>
      </c>
      <c r="E3" s="4">
        <v>68</v>
      </c>
      <c r="F3" s="14">
        <v>52</v>
      </c>
      <c r="G3" s="6">
        <f>E3-F3</f>
        <v>16</v>
      </c>
      <c r="H3" s="7"/>
      <c r="I3" s="8"/>
      <c r="J3" s="9">
        <v>46041</v>
      </c>
      <c r="K3" s="4" t="s">
        <v>116</v>
      </c>
      <c r="L3" s="11"/>
    </row>
    <row r="4" spans="1:12" ht="28.5" x14ac:dyDescent="0.25">
      <c r="A4" s="4">
        <v>2</v>
      </c>
      <c r="B4" s="12">
        <v>908402208</v>
      </c>
      <c r="C4" s="12" t="s">
        <v>58</v>
      </c>
      <c r="D4" s="5">
        <v>28452129</v>
      </c>
      <c r="E4" s="4">
        <v>5</v>
      </c>
      <c r="F4" s="14">
        <v>5</v>
      </c>
      <c r="G4" s="6">
        <f>E4-F4</f>
        <v>0</v>
      </c>
      <c r="H4" s="7">
        <v>46048</v>
      </c>
      <c r="I4" s="8" t="s">
        <v>13</v>
      </c>
      <c r="J4" s="9">
        <v>46055</v>
      </c>
      <c r="K4" s="4" t="s">
        <v>116</v>
      </c>
      <c r="L4" s="11"/>
    </row>
    <row r="5" spans="1:12" ht="28.5" x14ac:dyDescent="0.25">
      <c r="A5" s="4">
        <v>3</v>
      </c>
      <c r="B5" s="12">
        <v>908202030</v>
      </c>
      <c r="C5" s="11" t="s">
        <v>15</v>
      </c>
      <c r="D5" s="5">
        <v>28452129</v>
      </c>
      <c r="E5" s="4">
        <v>5</v>
      </c>
      <c r="F5" s="14">
        <v>4</v>
      </c>
      <c r="G5" s="6">
        <f t="shared" ref="G5:G20" si="0">E5-F5</f>
        <v>1</v>
      </c>
      <c r="H5" s="7">
        <v>46048</v>
      </c>
      <c r="I5" s="8" t="s">
        <v>13</v>
      </c>
      <c r="J5" s="24">
        <v>46056</v>
      </c>
      <c r="K5" s="4" t="s">
        <v>116</v>
      </c>
      <c r="L5" s="11"/>
    </row>
    <row r="6" spans="1:12" ht="28.5" x14ac:dyDescent="0.25">
      <c r="A6" s="4">
        <v>4</v>
      </c>
      <c r="B6" s="12" t="s">
        <v>16</v>
      </c>
      <c r="C6" s="11" t="s">
        <v>19</v>
      </c>
      <c r="D6" s="5">
        <v>28452129</v>
      </c>
      <c r="E6" s="4">
        <v>5</v>
      </c>
      <c r="F6" s="14">
        <v>6</v>
      </c>
      <c r="G6" s="6">
        <f t="shared" si="0"/>
        <v>-1</v>
      </c>
      <c r="H6" s="7">
        <v>46048</v>
      </c>
      <c r="I6" s="8" t="s">
        <v>13</v>
      </c>
      <c r="J6" s="9">
        <v>46055</v>
      </c>
      <c r="K6" s="4" t="s">
        <v>116</v>
      </c>
      <c r="L6" s="11"/>
    </row>
    <row r="7" spans="1:12" ht="28.5" x14ac:dyDescent="0.25">
      <c r="A7" s="4">
        <v>5</v>
      </c>
      <c r="B7" s="12">
        <v>908421025</v>
      </c>
      <c r="C7" s="11" t="s">
        <v>59</v>
      </c>
      <c r="D7" s="5">
        <v>28452129</v>
      </c>
      <c r="E7" s="4">
        <v>1</v>
      </c>
      <c r="F7" s="14">
        <v>1</v>
      </c>
      <c r="G7" s="6">
        <f t="shared" si="0"/>
        <v>0</v>
      </c>
      <c r="H7" s="7">
        <v>46048</v>
      </c>
      <c r="I7" s="8" t="s">
        <v>13</v>
      </c>
      <c r="J7" s="9">
        <v>46055</v>
      </c>
      <c r="K7" s="4" t="s">
        <v>116</v>
      </c>
      <c r="L7" s="11"/>
    </row>
    <row r="8" spans="1:12" ht="28.5" x14ac:dyDescent="0.25">
      <c r="A8" s="4">
        <v>6</v>
      </c>
      <c r="B8" s="12">
        <v>908111101</v>
      </c>
      <c r="C8" s="11" t="s">
        <v>47</v>
      </c>
      <c r="D8" s="5">
        <v>28452129</v>
      </c>
      <c r="E8" s="4">
        <v>10</v>
      </c>
      <c r="F8" s="14">
        <v>12</v>
      </c>
      <c r="G8" s="6">
        <f t="shared" si="0"/>
        <v>-2</v>
      </c>
      <c r="H8" s="7">
        <v>46048</v>
      </c>
      <c r="I8" s="8" t="s">
        <v>13</v>
      </c>
      <c r="J8" s="9">
        <v>46055</v>
      </c>
      <c r="K8" s="4" t="s">
        <v>116</v>
      </c>
      <c r="L8" s="11"/>
    </row>
    <row r="9" spans="1:12" ht="28.5" x14ac:dyDescent="0.25">
      <c r="A9" s="4">
        <v>7</v>
      </c>
      <c r="B9" s="12">
        <v>908421031</v>
      </c>
      <c r="C9" s="11" t="s">
        <v>111</v>
      </c>
      <c r="D9" s="5">
        <v>28452129</v>
      </c>
      <c r="E9" s="4">
        <v>4</v>
      </c>
      <c r="F9" s="14">
        <v>4</v>
      </c>
      <c r="G9" s="6">
        <f t="shared" si="0"/>
        <v>0</v>
      </c>
      <c r="H9" s="7">
        <v>46048</v>
      </c>
      <c r="I9" s="8" t="s">
        <v>13</v>
      </c>
      <c r="J9" s="9">
        <v>46055</v>
      </c>
      <c r="K9" s="4" t="s">
        <v>116</v>
      </c>
      <c r="L9" s="11"/>
    </row>
    <row r="10" spans="1:12" ht="28.5" x14ac:dyDescent="0.25">
      <c r="A10" s="4">
        <v>8</v>
      </c>
      <c r="B10" s="12">
        <v>908202189</v>
      </c>
      <c r="C10" s="11" t="s">
        <v>18</v>
      </c>
      <c r="D10" s="5">
        <v>28452129</v>
      </c>
      <c r="E10" s="4">
        <v>5</v>
      </c>
      <c r="F10" s="14">
        <v>6</v>
      </c>
      <c r="G10" s="6">
        <f t="shared" si="0"/>
        <v>-1</v>
      </c>
      <c r="H10" s="7">
        <v>46049</v>
      </c>
      <c r="I10" s="8" t="s">
        <v>13</v>
      </c>
      <c r="J10" s="9">
        <v>46055</v>
      </c>
      <c r="K10" s="4" t="s">
        <v>116</v>
      </c>
      <c r="L10" s="11"/>
    </row>
    <row r="11" spans="1:12" ht="28.5" x14ac:dyDescent="0.25">
      <c r="A11" s="4">
        <v>9</v>
      </c>
      <c r="B11" s="12">
        <v>908371013</v>
      </c>
      <c r="C11" s="11" t="s">
        <v>110</v>
      </c>
      <c r="D11" s="5">
        <v>28452129</v>
      </c>
      <c r="E11" s="4">
        <v>4</v>
      </c>
      <c r="F11" s="14">
        <v>4</v>
      </c>
      <c r="G11" s="6">
        <f t="shared" si="0"/>
        <v>0</v>
      </c>
      <c r="H11" s="7">
        <v>46048</v>
      </c>
      <c r="I11" s="8" t="s">
        <v>13</v>
      </c>
      <c r="J11" s="9">
        <v>46055</v>
      </c>
      <c r="K11" s="4" t="s">
        <v>116</v>
      </c>
      <c r="L11" s="11"/>
    </row>
    <row r="12" spans="1:12" ht="28.5" x14ac:dyDescent="0.25">
      <c r="A12" s="4">
        <v>10</v>
      </c>
      <c r="B12" s="12">
        <v>908020201</v>
      </c>
      <c r="C12" s="11" t="s">
        <v>12</v>
      </c>
      <c r="D12" s="5">
        <v>28452129</v>
      </c>
      <c r="E12" s="4">
        <v>5</v>
      </c>
      <c r="F12" s="14"/>
      <c r="G12" s="6">
        <f t="shared" si="0"/>
        <v>5</v>
      </c>
      <c r="H12" s="7">
        <v>46049</v>
      </c>
      <c r="I12" s="8" t="s">
        <v>13</v>
      </c>
      <c r="J12" s="9"/>
      <c r="K12" s="4"/>
      <c r="L12" s="11"/>
    </row>
    <row r="13" spans="1:12" ht="28.5" x14ac:dyDescent="0.25">
      <c r="A13" s="4">
        <v>11</v>
      </c>
      <c r="B13" s="12">
        <v>908371003</v>
      </c>
      <c r="C13" s="11" t="s">
        <v>120</v>
      </c>
      <c r="D13" s="5">
        <v>28452129</v>
      </c>
      <c r="E13" s="4">
        <v>1</v>
      </c>
      <c r="F13" s="14">
        <v>1</v>
      </c>
      <c r="G13" s="6">
        <f t="shared" si="0"/>
        <v>0</v>
      </c>
      <c r="H13" s="7">
        <v>46048</v>
      </c>
      <c r="I13" s="8" t="s">
        <v>13</v>
      </c>
      <c r="J13" s="9">
        <v>46055</v>
      </c>
      <c r="K13" s="4" t="s">
        <v>116</v>
      </c>
      <c r="L13" s="11"/>
    </row>
    <row r="14" spans="1:12" ht="28.5" x14ac:dyDescent="0.25">
      <c r="A14" s="4">
        <v>12</v>
      </c>
      <c r="B14" s="12">
        <v>908421005</v>
      </c>
      <c r="C14" s="11" t="s">
        <v>140</v>
      </c>
      <c r="D14" s="5">
        <v>28452129</v>
      </c>
      <c r="E14" s="4">
        <v>1</v>
      </c>
      <c r="F14" s="14">
        <v>1</v>
      </c>
      <c r="G14" s="6">
        <f t="shared" si="0"/>
        <v>0</v>
      </c>
      <c r="H14" s="7">
        <v>46049</v>
      </c>
      <c r="I14" s="8" t="s">
        <v>13</v>
      </c>
      <c r="J14" s="9">
        <v>46055</v>
      </c>
      <c r="K14" s="4" t="s">
        <v>116</v>
      </c>
      <c r="L14" s="11"/>
    </row>
    <row r="15" spans="1:12" ht="28.5" x14ac:dyDescent="0.25">
      <c r="A15" s="4">
        <v>13</v>
      </c>
      <c r="B15" s="12">
        <v>908122035</v>
      </c>
      <c r="C15" s="11" t="s">
        <v>143</v>
      </c>
      <c r="D15" s="5">
        <v>28361053</v>
      </c>
      <c r="E15" s="4">
        <v>12</v>
      </c>
      <c r="F15" s="14">
        <f>8+4</f>
        <v>12</v>
      </c>
      <c r="G15" s="6">
        <f t="shared" si="0"/>
        <v>0</v>
      </c>
      <c r="H15" s="7">
        <v>46030</v>
      </c>
      <c r="I15" s="8" t="s">
        <v>13</v>
      </c>
      <c r="J15" s="9">
        <v>46055</v>
      </c>
      <c r="K15" s="4" t="s">
        <v>116</v>
      </c>
      <c r="L15" s="11" t="s">
        <v>148</v>
      </c>
    </row>
    <row r="16" spans="1:12" ht="28.5" x14ac:dyDescent="0.25">
      <c r="A16" s="4">
        <v>14</v>
      </c>
      <c r="B16" s="12">
        <v>908111006</v>
      </c>
      <c r="C16" s="11" t="s">
        <v>144</v>
      </c>
      <c r="D16" s="5">
        <v>28361053</v>
      </c>
      <c r="E16" s="4">
        <v>12</v>
      </c>
      <c r="F16" s="14">
        <v>14</v>
      </c>
      <c r="G16" s="6">
        <f t="shared" si="0"/>
        <v>-2</v>
      </c>
      <c r="H16" s="7"/>
      <c r="I16" s="8"/>
      <c r="J16" s="9">
        <v>46055</v>
      </c>
      <c r="K16" s="4" t="s">
        <v>116</v>
      </c>
      <c r="L16" s="11" t="s">
        <v>148</v>
      </c>
    </row>
    <row r="17" spans="1:12" ht="52.5" x14ac:dyDescent="0.25">
      <c r="A17" s="4">
        <v>15</v>
      </c>
      <c r="B17" s="12" t="s">
        <v>50</v>
      </c>
      <c r="C17" s="11" t="s">
        <v>51</v>
      </c>
      <c r="D17" s="5">
        <v>28361053</v>
      </c>
      <c r="E17" s="4">
        <v>10</v>
      </c>
      <c r="F17" s="14">
        <f>5+5</f>
        <v>10</v>
      </c>
      <c r="G17" s="6">
        <f t="shared" si="0"/>
        <v>0</v>
      </c>
      <c r="H17" s="7"/>
      <c r="I17" s="8"/>
      <c r="J17" s="24" t="s">
        <v>147</v>
      </c>
      <c r="K17" s="4" t="s">
        <v>116</v>
      </c>
      <c r="L17" s="11" t="s">
        <v>148</v>
      </c>
    </row>
    <row r="18" spans="1:12" ht="28.5" x14ac:dyDescent="0.25">
      <c r="A18" s="4">
        <v>16</v>
      </c>
      <c r="B18" s="12">
        <v>908121010</v>
      </c>
      <c r="C18" s="11" t="s">
        <v>22</v>
      </c>
      <c r="D18" s="5">
        <v>28361053</v>
      </c>
      <c r="E18" s="4">
        <v>3</v>
      </c>
      <c r="F18" s="14">
        <v>3</v>
      </c>
      <c r="G18" s="6">
        <f t="shared" si="0"/>
        <v>0</v>
      </c>
      <c r="H18" s="7">
        <v>46058</v>
      </c>
      <c r="I18" s="8" t="s">
        <v>13</v>
      </c>
      <c r="J18" s="24">
        <v>46065</v>
      </c>
      <c r="K18" s="4" t="s">
        <v>116</v>
      </c>
      <c r="L18" s="11"/>
    </row>
    <row r="19" spans="1:12" ht="28.5" x14ac:dyDescent="0.25">
      <c r="A19" s="4">
        <v>17</v>
      </c>
      <c r="B19" s="12">
        <v>908122009</v>
      </c>
      <c r="C19" s="11" t="s">
        <v>149</v>
      </c>
      <c r="D19" s="5"/>
      <c r="E19" s="4"/>
      <c r="F19" s="14">
        <v>8</v>
      </c>
      <c r="G19" s="6">
        <f t="shared" si="0"/>
        <v>-8</v>
      </c>
      <c r="H19" s="7"/>
      <c r="I19" s="8"/>
      <c r="J19" s="24">
        <v>46056</v>
      </c>
      <c r="K19" s="4" t="s">
        <v>116</v>
      </c>
      <c r="L19" s="11" t="s">
        <v>148</v>
      </c>
    </row>
    <row r="20" spans="1:12" ht="28.5" x14ac:dyDescent="0.25">
      <c r="A20" s="4">
        <v>18</v>
      </c>
      <c r="B20" s="12">
        <v>908122008</v>
      </c>
      <c r="C20" s="11" t="s">
        <v>126</v>
      </c>
      <c r="D20" s="5">
        <v>28361053</v>
      </c>
      <c r="E20" s="4">
        <v>16</v>
      </c>
      <c r="F20" s="14"/>
      <c r="G20" s="6">
        <f t="shared" si="0"/>
        <v>16</v>
      </c>
      <c r="H20" s="7">
        <v>46058</v>
      </c>
      <c r="I20" s="8" t="s">
        <v>13</v>
      </c>
      <c r="J20" s="24"/>
      <c r="K20" s="4"/>
      <c r="L20" s="11"/>
    </row>
    <row r="21" spans="1:12" ht="28.5" x14ac:dyDescent="0.25">
      <c r="A21" s="4"/>
      <c r="B21" s="12"/>
      <c r="C21" s="11"/>
      <c r="D21" s="5"/>
      <c r="E21" s="4"/>
      <c r="F21" s="14"/>
      <c r="G21" s="6"/>
      <c r="H21" s="7"/>
      <c r="I21" s="8"/>
      <c r="J21" s="24"/>
      <c r="K21" s="4"/>
      <c r="L21" s="11"/>
    </row>
    <row r="23" spans="1:12" ht="26.25" x14ac:dyDescent="0.25">
      <c r="A23" s="1" t="s">
        <v>0</v>
      </c>
      <c r="B23" s="2" t="s">
        <v>1</v>
      </c>
      <c r="C23" s="1" t="s">
        <v>168</v>
      </c>
      <c r="D23" s="1" t="s">
        <v>169</v>
      </c>
      <c r="E23" s="11"/>
    </row>
    <row r="24" spans="1:12" ht="23.25" x14ac:dyDescent="0.25">
      <c r="A24" s="12">
        <v>1</v>
      </c>
      <c r="B24" s="12">
        <v>908111006</v>
      </c>
      <c r="C24" s="11" t="s">
        <v>144</v>
      </c>
      <c r="D24" s="11">
        <v>4</v>
      </c>
      <c r="E24" s="11"/>
    </row>
    <row r="25" spans="1:12" ht="23.25" x14ac:dyDescent="0.25">
      <c r="A25" s="12">
        <v>2</v>
      </c>
      <c r="B25" s="12">
        <v>908111007</v>
      </c>
      <c r="C25" s="11" t="s">
        <v>53</v>
      </c>
      <c r="D25" s="11">
        <v>8</v>
      </c>
      <c r="E25" s="11"/>
    </row>
    <row r="26" spans="1:12" ht="23.25" x14ac:dyDescent="0.25">
      <c r="A26" s="12">
        <v>3</v>
      </c>
      <c r="B26" s="12"/>
      <c r="C26" s="11" t="s">
        <v>166</v>
      </c>
      <c r="D26" s="11">
        <v>1</v>
      </c>
      <c r="E26" s="11"/>
    </row>
    <row r="27" spans="1:12" ht="23.25" x14ac:dyDescent="0.25">
      <c r="A27" s="12">
        <v>4</v>
      </c>
      <c r="B27" s="12"/>
      <c r="C27" s="11" t="s">
        <v>167</v>
      </c>
      <c r="D27" s="11">
        <v>1</v>
      </c>
      <c r="E27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8647-569E-4030-B34F-BA54B749F7E7}">
  <dimension ref="A1:L13"/>
  <sheetViews>
    <sheetView zoomScale="78" zoomScaleNormal="78" workbookViewId="0">
      <selection activeCell="B10" sqref="B10:C10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104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908121008</v>
      </c>
      <c r="C3" s="11" t="s">
        <v>14</v>
      </c>
      <c r="D3" s="5">
        <v>28413893</v>
      </c>
      <c r="E3" s="4">
        <v>2</v>
      </c>
      <c r="F3" s="14">
        <v>2</v>
      </c>
      <c r="G3" s="6">
        <f t="shared" ref="G3:G13" si="0">E3-F3</f>
        <v>0</v>
      </c>
      <c r="H3" s="7">
        <v>46037</v>
      </c>
      <c r="I3" s="8" t="s">
        <v>13</v>
      </c>
      <c r="J3" s="9">
        <v>46047</v>
      </c>
      <c r="K3" s="4" t="s">
        <v>116</v>
      </c>
      <c r="L3" s="11"/>
    </row>
    <row r="4" spans="1:12" ht="28.5" x14ac:dyDescent="0.25">
      <c r="A4" s="4">
        <v>2</v>
      </c>
      <c r="B4" s="10" t="s">
        <v>50</v>
      </c>
      <c r="C4" s="11" t="s">
        <v>51</v>
      </c>
      <c r="D4" s="5"/>
      <c r="E4" s="4"/>
      <c r="F4" s="14">
        <v>32</v>
      </c>
      <c r="G4" s="6">
        <f t="shared" si="0"/>
        <v>-32</v>
      </c>
      <c r="H4" s="7"/>
      <c r="I4" s="8"/>
      <c r="J4" s="9">
        <v>46041</v>
      </c>
      <c r="K4" s="4" t="s">
        <v>116</v>
      </c>
      <c r="L4" s="11"/>
    </row>
    <row r="5" spans="1:12" ht="28.5" x14ac:dyDescent="0.25">
      <c r="A5" s="4">
        <v>3</v>
      </c>
      <c r="B5" s="10">
        <v>908402208</v>
      </c>
      <c r="C5" s="11" t="s">
        <v>58</v>
      </c>
      <c r="D5" s="5">
        <v>28551679</v>
      </c>
      <c r="E5" s="4">
        <v>5</v>
      </c>
      <c r="F5" s="14">
        <v>5</v>
      </c>
      <c r="G5" s="6">
        <f t="shared" si="0"/>
        <v>0</v>
      </c>
      <c r="H5" s="7">
        <v>46062</v>
      </c>
      <c r="I5" s="8" t="s">
        <v>13</v>
      </c>
      <c r="J5" s="9">
        <v>46063</v>
      </c>
      <c r="K5" s="4" t="s">
        <v>116</v>
      </c>
      <c r="L5" s="11"/>
    </row>
    <row r="6" spans="1:12" ht="28.5" x14ac:dyDescent="0.25">
      <c r="A6" s="4">
        <v>4</v>
      </c>
      <c r="B6" s="10">
        <v>908202030</v>
      </c>
      <c r="C6" s="11" t="s">
        <v>15</v>
      </c>
      <c r="D6" s="5">
        <v>28551679</v>
      </c>
      <c r="E6" s="4"/>
      <c r="F6" s="14"/>
      <c r="G6" s="6">
        <f t="shared" si="0"/>
        <v>0</v>
      </c>
      <c r="H6" s="7"/>
      <c r="I6" s="8"/>
      <c r="J6" s="9"/>
      <c r="K6" s="4"/>
      <c r="L6" s="11"/>
    </row>
    <row r="7" spans="1:12" ht="28.5" x14ac:dyDescent="0.25">
      <c r="A7" s="4">
        <v>5</v>
      </c>
      <c r="B7" s="10" t="s">
        <v>16</v>
      </c>
      <c r="C7" s="11" t="s">
        <v>19</v>
      </c>
      <c r="D7" s="5">
        <v>28551679</v>
      </c>
      <c r="E7" s="4">
        <v>2</v>
      </c>
      <c r="F7" s="14">
        <v>3</v>
      </c>
      <c r="G7" s="6">
        <f t="shared" si="0"/>
        <v>-1</v>
      </c>
      <c r="H7" s="7">
        <v>46062</v>
      </c>
      <c r="I7" s="8" t="s">
        <v>13</v>
      </c>
      <c r="J7" s="9">
        <v>46063</v>
      </c>
      <c r="K7" s="4" t="s">
        <v>116</v>
      </c>
      <c r="L7" s="11"/>
    </row>
    <row r="8" spans="1:12" ht="28.5" x14ac:dyDescent="0.25">
      <c r="A8" s="4">
        <v>6</v>
      </c>
      <c r="B8" s="10">
        <v>908421025</v>
      </c>
      <c r="C8" s="11" t="s">
        <v>59</v>
      </c>
      <c r="D8" s="5">
        <v>28551679</v>
      </c>
      <c r="E8" s="4">
        <v>1</v>
      </c>
      <c r="F8" s="14">
        <v>1</v>
      </c>
      <c r="G8" s="6">
        <f t="shared" si="0"/>
        <v>0</v>
      </c>
      <c r="H8" s="7">
        <v>46062</v>
      </c>
      <c r="I8" s="8" t="s">
        <v>13</v>
      </c>
      <c r="J8" s="9">
        <v>46063</v>
      </c>
      <c r="K8" s="4" t="s">
        <v>116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>
        <v>28551679</v>
      </c>
      <c r="E9" s="4"/>
      <c r="F9" s="14">
        <v>6</v>
      </c>
      <c r="G9" s="6">
        <f t="shared" si="0"/>
        <v>-6</v>
      </c>
      <c r="H9" s="7">
        <v>46062</v>
      </c>
      <c r="I9" s="8" t="s">
        <v>13</v>
      </c>
      <c r="J9" s="9">
        <v>46063</v>
      </c>
      <c r="K9" s="4" t="s">
        <v>116</v>
      </c>
      <c r="L9" s="11"/>
    </row>
    <row r="10" spans="1:12" ht="28.5" x14ac:dyDescent="0.25">
      <c r="A10" s="4">
        <v>8</v>
      </c>
      <c r="B10" s="10">
        <v>908421031</v>
      </c>
      <c r="C10" s="11" t="s">
        <v>111</v>
      </c>
      <c r="D10" s="5">
        <v>28551679</v>
      </c>
      <c r="E10" s="4">
        <v>2</v>
      </c>
      <c r="F10" s="14">
        <v>2</v>
      </c>
      <c r="G10" s="6">
        <f t="shared" si="0"/>
        <v>0</v>
      </c>
      <c r="H10" s="7">
        <v>46062</v>
      </c>
      <c r="I10" s="8" t="s">
        <v>13</v>
      </c>
      <c r="J10" s="9">
        <v>46063</v>
      </c>
      <c r="K10" s="4" t="s">
        <v>116</v>
      </c>
      <c r="L10" s="11"/>
    </row>
    <row r="11" spans="1:12" ht="28.5" x14ac:dyDescent="0.25">
      <c r="A11" s="4">
        <v>9</v>
      </c>
      <c r="B11" s="10">
        <v>908202189</v>
      </c>
      <c r="C11" s="11" t="s">
        <v>18</v>
      </c>
      <c r="D11" s="5">
        <v>28551679</v>
      </c>
      <c r="E11" s="4">
        <v>2</v>
      </c>
      <c r="F11" s="14">
        <v>3</v>
      </c>
      <c r="G11" s="6">
        <f t="shared" si="0"/>
        <v>-1</v>
      </c>
      <c r="H11" s="7">
        <v>46062</v>
      </c>
      <c r="I11" s="8" t="s">
        <v>13</v>
      </c>
      <c r="J11" s="9">
        <v>46063</v>
      </c>
      <c r="K11" s="4" t="s">
        <v>116</v>
      </c>
      <c r="L11" s="11"/>
    </row>
    <row r="12" spans="1:12" ht="28.5" x14ac:dyDescent="0.25">
      <c r="A12" s="4">
        <v>10</v>
      </c>
      <c r="B12" s="10">
        <v>908371012</v>
      </c>
      <c r="C12" s="11" t="s">
        <v>124</v>
      </c>
      <c r="D12" s="5">
        <v>28551679</v>
      </c>
      <c r="E12" s="4">
        <v>5</v>
      </c>
      <c r="F12" s="14">
        <v>5</v>
      </c>
      <c r="G12" s="6">
        <f t="shared" si="0"/>
        <v>0</v>
      </c>
      <c r="H12" s="7">
        <v>46062</v>
      </c>
      <c r="I12" s="8" t="s">
        <v>13</v>
      </c>
      <c r="J12" s="9">
        <v>46063</v>
      </c>
      <c r="K12" s="4" t="s">
        <v>116</v>
      </c>
      <c r="L12" s="11"/>
    </row>
    <row r="13" spans="1:12" ht="28.5" x14ac:dyDescent="0.25">
      <c r="A13" s="4">
        <v>11</v>
      </c>
      <c r="B13" s="12">
        <v>908020201</v>
      </c>
      <c r="C13" s="11" t="s">
        <v>12</v>
      </c>
      <c r="D13" s="5">
        <v>28551679</v>
      </c>
      <c r="E13" s="4">
        <v>3</v>
      </c>
      <c r="F13" s="14"/>
      <c r="G13" s="6">
        <f t="shared" si="0"/>
        <v>3</v>
      </c>
      <c r="H13" s="7">
        <v>46062</v>
      </c>
      <c r="I13" s="8" t="s">
        <v>13</v>
      </c>
      <c r="J13" s="9">
        <v>46063</v>
      </c>
      <c r="K13" s="4" t="s">
        <v>116</v>
      </c>
      <c r="L13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5089-0702-4A16-9586-56C353FB32C6}">
  <dimension ref="A1:L30"/>
  <sheetViews>
    <sheetView zoomScale="78" zoomScaleNormal="78" workbookViewId="0">
      <selection activeCell="E3" sqref="E3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102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7" thickBot="1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53.25" thickBot="1" x14ac:dyDescent="0.3">
      <c r="A3" s="4">
        <v>1</v>
      </c>
      <c r="B3" s="22">
        <v>905728066</v>
      </c>
      <c r="C3" s="20" t="s">
        <v>79</v>
      </c>
      <c r="D3" s="5">
        <v>28315180</v>
      </c>
      <c r="E3" s="4">
        <v>185</v>
      </c>
      <c r="F3" s="14">
        <f>36+150</f>
        <v>186</v>
      </c>
      <c r="G3" s="6">
        <f>E3-F3</f>
        <v>-1</v>
      </c>
      <c r="H3" s="7">
        <v>46050</v>
      </c>
      <c r="I3" s="8" t="s">
        <v>13</v>
      </c>
      <c r="J3" s="24" t="s">
        <v>141</v>
      </c>
      <c r="K3" s="4" t="s">
        <v>61</v>
      </c>
      <c r="L3" s="11"/>
    </row>
    <row r="4" spans="1:12" ht="53.25" thickBot="1" x14ac:dyDescent="0.3">
      <c r="A4" s="4">
        <v>2</v>
      </c>
      <c r="B4" s="23">
        <v>908111003</v>
      </c>
      <c r="C4" s="21" t="s">
        <v>80</v>
      </c>
      <c r="D4" s="5">
        <v>28315180</v>
      </c>
      <c r="E4" s="4">
        <v>65</v>
      </c>
      <c r="F4" s="14">
        <f>10+55</f>
        <v>65</v>
      </c>
      <c r="G4" s="6">
        <f t="shared" ref="G4:G27" si="0">E4-F4</f>
        <v>0</v>
      </c>
      <c r="H4" s="7">
        <v>46050</v>
      </c>
      <c r="I4" s="8" t="s">
        <v>13</v>
      </c>
      <c r="J4" s="24" t="s">
        <v>141</v>
      </c>
      <c r="K4" s="4" t="s">
        <v>61</v>
      </c>
      <c r="L4" s="11"/>
    </row>
    <row r="5" spans="1:12" ht="29.25" thickBot="1" x14ac:dyDescent="0.3">
      <c r="A5" s="4">
        <v>3</v>
      </c>
      <c r="B5" s="23">
        <v>908111102</v>
      </c>
      <c r="C5" s="21" t="s">
        <v>81</v>
      </c>
      <c r="D5" s="5">
        <v>28315180</v>
      </c>
      <c r="E5" s="4">
        <v>40</v>
      </c>
      <c r="F5" s="14">
        <v>40</v>
      </c>
      <c r="G5" s="6">
        <f t="shared" si="0"/>
        <v>0</v>
      </c>
      <c r="H5" s="7">
        <v>46040</v>
      </c>
      <c r="I5" s="8" t="s">
        <v>13</v>
      </c>
      <c r="J5" s="9">
        <v>46055</v>
      </c>
      <c r="K5" s="4" t="s">
        <v>61</v>
      </c>
      <c r="L5" s="11"/>
    </row>
    <row r="6" spans="1:12" ht="29.25" thickBot="1" x14ac:dyDescent="0.3">
      <c r="A6" s="4">
        <v>4</v>
      </c>
      <c r="B6" s="23">
        <v>908202189</v>
      </c>
      <c r="C6" s="21" t="s">
        <v>82</v>
      </c>
      <c r="D6" s="5">
        <v>28457745</v>
      </c>
      <c r="E6" s="4">
        <v>12</v>
      </c>
      <c r="F6" s="14">
        <v>12</v>
      </c>
      <c r="G6" s="6">
        <f t="shared" si="0"/>
        <v>0</v>
      </c>
      <c r="H6" s="7">
        <v>46049</v>
      </c>
      <c r="I6" s="8" t="s">
        <v>13</v>
      </c>
      <c r="J6" s="9">
        <v>46055</v>
      </c>
      <c r="K6" s="4" t="s">
        <v>61</v>
      </c>
      <c r="L6" s="11"/>
    </row>
    <row r="7" spans="1:12" ht="53.25" thickBot="1" x14ac:dyDescent="0.3">
      <c r="A7" s="4">
        <v>5</v>
      </c>
      <c r="B7" s="23">
        <v>905728003</v>
      </c>
      <c r="C7" s="21" t="s">
        <v>83</v>
      </c>
      <c r="D7" s="5">
        <v>28457745</v>
      </c>
      <c r="E7" s="4">
        <v>9</v>
      </c>
      <c r="F7" s="14">
        <f>3+6</f>
        <v>9</v>
      </c>
      <c r="G7" s="6">
        <f t="shared" si="0"/>
        <v>0</v>
      </c>
      <c r="H7" s="7">
        <v>46049</v>
      </c>
      <c r="I7" s="8" t="s">
        <v>13</v>
      </c>
      <c r="J7" s="24" t="s">
        <v>142</v>
      </c>
      <c r="K7" s="4" t="s">
        <v>61</v>
      </c>
      <c r="L7" s="11"/>
    </row>
    <row r="8" spans="1:12" ht="53.25" thickBot="1" x14ac:dyDescent="0.3">
      <c r="A8" s="4">
        <v>6</v>
      </c>
      <c r="B8" s="23">
        <v>905711522</v>
      </c>
      <c r="C8" s="21" t="s">
        <v>84</v>
      </c>
      <c r="D8" s="5">
        <v>28457745</v>
      </c>
      <c r="E8" s="4">
        <v>9</v>
      </c>
      <c r="F8" s="14">
        <f>3+6</f>
        <v>9</v>
      </c>
      <c r="G8" s="6">
        <f t="shared" si="0"/>
        <v>0</v>
      </c>
      <c r="H8" s="7">
        <v>46049</v>
      </c>
      <c r="I8" s="8" t="s">
        <v>13</v>
      </c>
      <c r="J8" s="24" t="s">
        <v>142</v>
      </c>
      <c r="K8" s="4" t="s">
        <v>61</v>
      </c>
      <c r="L8" s="11"/>
    </row>
    <row r="9" spans="1:12" ht="53.25" thickBot="1" x14ac:dyDescent="0.3">
      <c r="A9" s="4">
        <v>7</v>
      </c>
      <c r="B9" s="23">
        <v>905759635</v>
      </c>
      <c r="C9" s="21" t="s">
        <v>85</v>
      </c>
      <c r="D9" s="5">
        <v>28457745</v>
      </c>
      <c r="E9" s="4">
        <v>9</v>
      </c>
      <c r="F9" s="14">
        <f>3+6</f>
        <v>9</v>
      </c>
      <c r="G9" s="6">
        <f t="shared" si="0"/>
        <v>0</v>
      </c>
      <c r="H9" s="7">
        <v>46049</v>
      </c>
      <c r="I9" s="8" t="s">
        <v>13</v>
      </c>
      <c r="J9" s="24" t="s">
        <v>142</v>
      </c>
      <c r="K9" s="4" t="s">
        <v>61</v>
      </c>
      <c r="L9" s="11"/>
    </row>
    <row r="10" spans="1:12" ht="29.25" thickBot="1" x14ac:dyDescent="0.3">
      <c r="A10" s="4">
        <v>8</v>
      </c>
      <c r="B10" s="23">
        <v>905835838</v>
      </c>
      <c r="C10" s="21" t="s">
        <v>86</v>
      </c>
      <c r="D10" s="5">
        <v>28457745</v>
      </c>
      <c r="E10" s="4">
        <v>3</v>
      </c>
      <c r="F10" s="14">
        <v>3</v>
      </c>
      <c r="G10" s="6">
        <f t="shared" si="0"/>
        <v>0</v>
      </c>
      <c r="H10" s="7">
        <v>46049</v>
      </c>
      <c r="I10" s="8" t="s">
        <v>13</v>
      </c>
      <c r="J10" s="9">
        <v>46050</v>
      </c>
      <c r="K10" s="4" t="s">
        <v>61</v>
      </c>
      <c r="L10" s="11"/>
    </row>
    <row r="11" spans="1:12" ht="36.75" thickBot="1" x14ac:dyDescent="0.3">
      <c r="A11" s="4">
        <v>9</v>
      </c>
      <c r="B11" s="27">
        <v>905708973</v>
      </c>
      <c r="C11" s="28" t="s">
        <v>87</v>
      </c>
      <c r="D11" s="26" t="s">
        <v>139</v>
      </c>
      <c r="E11" s="4">
        <v>2</v>
      </c>
      <c r="F11" s="14">
        <v>2</v>
      </c>
      <c r="G11" s="6">
        <f t="shared" si="0"/>
        <v>0</v>
      </c>
      <c r="H11" s="7">
        <v>46049</v>
      </c>
      <c r="I11" s="8" t="s">
        <v>13</v>
      </c>
      <c r="J11" s="9">
        <v>46055</v>
      </c>
      <c r="K11" s="4" t="s">
        <v>61</v>
      </c>
      <c r="L11" s="11"/>
    </row>
    <row r="12" spans="1:12" ht="29.25" thickBot="1" x14ac:dyDescent="0.3">
      <c r="A12" s="4">
        <v>10</v>
      </c>
      <c r="B12" s="22">
        <v>908020201</v>
      </c>
      <c r="C12" s="20" t="s">
        <v>88</v>
      </c>
      <c r="D12" s="5">
        <v>28457745</v>
      </c>
      <c r="E12" s="4">
        <v>2</v>
      </c>
      <c r="F12" s="14">
        <v>3</v>
      </c>
      <c r="G12" s="6">
        <f t="shared" si="0"/>
        <v>-1</v>
      </c>
      <c r="H12" s="7">
        <v>46049</v>
      </c>
      <c r="I12" s="8" t="s">
        <v>13</v>
      </c>
      <c r="J12" s="9">
        <v>46046</v>
      </c>
      <c r="K12" s="4" t="s">
        <v>61</v>
      </c>
      <c r="L12" s="11"/>
    </row>
    <row r="13" spans="1:12" ht="29.25" thickBot="1" x14ac:dyDescent="0.3">
      <c r="A13" s="4">
        <v>11</v>
      </c>
      <c r="B13" s="22">
        <v>905727954</v>
      </c>
      <c r="C13" s="20" t="s">
        <v>89</v>
      </c>
      <c r="D13" s="5">
        <v>28457745</v>
      </c>
      <c r="E13" s="4">
        <v>1</v>
      </c>
      <c r="F13" s="14"/>
      <c r="G13" s="6">
        <f t="shared" si="0"/>
        <v>1</v>
      </c>
      <c r="H13" s="7">
        <v>46049</v>
      </c>
      <c r="I13" s="8" t="s">
        <v>13</v>
      </c>
      <c r="J13" s="9"/>
      <c r="K13" s="4"/>
      <c r="L13" s="11"/>
    </row>
    <row r="14" spans="1:12" ht="29.25" thickBot="1" x14ac:dyDescent="0.3">
      <c r="A14" s="4">
        <v>12</v>
      </c>
      <c r="B14" s="22">
        <v>905773280</v>
      </c>
      <c r="C14" s="20" t="s">
        <v>90</v>
      </c>
      <c r="D14" s="5">
        <v>28315180</v>
      </c>
      <c r="E14" s="4">
        <v>1</v>
      </c>
      <c r="F14" s="14">
        <v>1</v>
      </c>
      <c r="G14" s="6">
        <f t="shared" si="0"/>
        <v>0</v>
      </c>
      <c r="H14" s="7">
        <v>46037</v>
      </c>
      <c r="I14" s="8" t="s">
        <v>13</v>
      </c>
      <c r="J14" s="9">
        <v>46046</v>
      </c>
      <c r="K14" s="4" t="s">
        <v>61</v>
      </c>
      <c r="L14" s="11"/>
    </row>
    <row r="15" spans="1:12" ht="29.25" thickBot="1" x14ac:dyDescent="0.3">
      <c r="A15" s="4">
        <v>13</v>
      </c>
      <c r="B15" s="22">
        <v>908513025</v>
      </c>
      <c r="C15" s="20" t="s">
        <v>91</v>
      </c>
      <c r="D15" s="5">
        <v>28315180</v>
      </c>
      <c r="E15" s="4">
        <v>1</v>
      </c>
      <c r="F15" s="14">
        <v>1</v>
      </c>
      <c r="G15" s="6">
        <f t="shared" si="0"/>
        <v>0</v>
      </c>
      <c r="H15" s="7">
        <v>46037</v>
      </c>
      <c r="I15" s="8" t="s">
        <v>13</v>
      </c>
      <c r="J15" s="9">
        <v>46046</v>
      </c>
      <c r="K15" s="4" t="s">
        <v>61</v>
      </c>
      <c r="L15" s="11"/>
    </row>
    <row r="16" spans="1:12" ht="29.25" thickBot="1" x14ac:dyDescent="0.3">
      <c r="A16" s="4">
        <v>14</v>
      </c>
      <c r="B16" s="22">
        <v>908111101</v>
      </c>
      <c r="C16" s="20" t="s">
        <v>92</v>
      </c>
      <c r="D16" s="5">
        <v>28315180</v>
      </c>
      <c r="E16" s="4">
        <v>6</v>
      </c>
      <c r="F16" s="14"/>
      <c r="G16" s="6">
        <f t="shared" si="0"/>
        <v>6</v>
      </c>
      <c r="H16" s="7">
        <v>46040</v>
      </c>
      <c r="I16" s="8" t="s">
        <v>13</v>
      </c>
      <c r="J16" s="9"/>
      <c r="K16" s="4"/>
      <c r="L16" s="11"/>
    </row>
    <row r="17" spans="1:12" ht="53.25" thickBot="1" x14ac:dyDescent="0.3">
      <c r="A17" s="4">
        <v>15</v>
      </c>
      <c r="B17" s="22">
        <v>908202030</v>
      </c>
      <c r="C17" s="20" t="s">
        <v>93</v>
      </c>
      <c r="D17" s="5">
        <v>28315180</v>
      </c>
      <c r="E17" s="4">
        <v>5</v>
      </c>
      <c r="F17" s="14">
        <f>5+7</f>
        <v>12</v>
      </c>
      <c r="G17" s="6">
        <f t="shared" si="0"/>
        <v>-7</v>
      </c>
      <c r="H17" s="7">
        <v>46037</v>
      </c>
      <c r="I17" s="8" t="s">
        <v>13</v>
      </c>
      <c r="J17" s="24" t="s">
        <v>146</v>
      </c>
      <c r="K17" s="4" t="s">
        <v>61</v>
      </c>
      <c r="L17" s="11"/>
    </row>
    <row r="18" spans="1:12" ht="29.25" thickBot="1" x14ac:dyDescent="0.3">
      <c r="A18" s="4">
        <v>16</v>
      </c>
      <c r="B18" s="22">
        <v>908122034</v>
      </c>
      <c r="C18" s="20" t="s">
        <v>21</v>
      </c>
      <c r="D18" s="5">
        <v>28315180</v>
      </c>
      <c r="E18" s="4">
        <v>10</v>
      </c>
      <c r="F18" s="14">
        <v>10</v>
      </c>
      <c r="G18" s="6">
        <f t="shared" si="0"/>
        <v>0</v>
      </c>
      <c r="H18" s="7">
        <v>46037</v>
      </c>
      <c r="I18" s="8" t="s">
        <v>13</v>
      </c>
      <c r="J18" s="9">
        <v>46055</v>
      </c>
      <c r="K18" s="4" t="s">
        <v>61</v>
      </c>
      <c r="L18" s="11"/>
    </row>
    <row r="19" spans="1:12" ht="29.25" thickBot="1" x14ac:dyDescent="0.3">
      <c r="A19" s="4">
        <v>17</v>
      </c>
      <c r="B19" s="22">
        <v>908202054</v>
      </c>
      <c r="C19" s="20" t="s">
        <v>19</v>
      </c>
      <c r="D19" s="5">
        <v>28315180</v>
      </c>
      <c r="E19" s="4">
        <v>6</v>
      </c>
      <c r="F19" s="14">
        <v>6</v>
      </c>
      <c r="G19" s="6">
        <f t="shared" si="0"/>
        <v>0</v>
      </c>
      <c r="H19" s="7">
        <v>46037</v>
      </c>
      <c r="I19" s="8" t="s">
        <v>13</v>
      </c>
      <c r="J19" s="9">
        <v>46055</v>
      </c>
      <c r="K19" s="4" t="s">
        <v>61</v>
      </c>
      <c r="L19" s="11"/>
    </row>
    <row r="20" spans="1:12" ht="53.25" thickBot="1" x14ac:dyDescent="0.3">
      <c r="A20" s="4">
        <v>18</v>
      </c>
      <c r="B20" s="22">
        <v>905727976</v>
      </c>
      <c r="C20" s="20" t="s">
        <v>94</v>
      </c>
      <c r="D20" s="5">
        <v>28315180</v>
      </c>
      <c r="E20" s="4">
        <v>9</v>
      </c>
      <c r="F20" s="14">
        <f>3+6</f>
        <v>9</v>
      </c>
      <c r="G20" s="6">
        <f t="shared" si="0"/>
        <v>0</v>
      </c>
      <c r="H20" s="7">
        <v>46037</v>
      </c>
      <c r="I20" s="8" t="s">
        <v>13</v>
      </c>
      <c r="J20" s="24" t="s">
        <v>142</v>
      </c>
      <c r="K20" s="4" t="s">
        <v>61</v>
      </c>
      <c r="L20" s="11"/>
    </row>
    <row r="21" spans="1:12" ht="53.25" thickBot="1" x14ac:dyDescent="0.3">
      <c r="A21" s="4">
        <v>19</v>
      </c>
      <c r="B21" s="22">
        <v>905702039</v>
      </c>
      <c r="C21" s="20" t="s">
        <v>95</v>
      </c>
      <c r="D21" s="5">
        <v>28315180</v>
      </c>
      <c r="E21" s="4">
        <v>9</v>
      </c>
      <c r="F21" s="14">
        <f>3+6</f>
        <v>9</v>
      </c>
      <c r="G21" s="6">
        <f t="shared" si="0"/>
        <v>0</v>
      </c>
      <c r="H21" s="7">
        <v>46037</v>
      </c>
      <c r="I21" s="8" t="s">
        <v>13</v>
      </c>
      <c r="J21" s="24" t="s">
        <v>142</v>
      </c>
      <c r="K21" s="4" t="s">
        <v>61</v>
      </c>
      <c r="L21" s="11"/>
    </row>
    <row r="22" spans="1:12" ht="29.25" thickBot="1" x14ac:dyDescent="0.3">
      <c r="A22" s="4">
        <v>20</v>
      </c>
      <c r="B22" s="22">
        <v>908202056</v>
      </c>
      <c r="C22" s="20" t="s">
        <v>96</v>
      </c>
      <c r="D22" s="5">
        <v>28315180</v>
      </c>
      <c r="E22" s="4">
        <v>2</v>
      </c>
      <c r="F22" s="14">
        <v>2</v>
      </c>
      <c r="G22" s="6">
        <f t="shared" si="0"/>
        <v>0</v>
      </c>
      <c r="H22" s="7">
        <v>46037</v>
      </c>
      <c r="I22" s="8" t="s">
        <v>13</v>
      </c>
      <c r="J22" s="9">
        <v>46055</v>
      </c>
      <c r="K22" s="4" t="s">
        <v>61</v>
      </c>
      <c r="L22" s="11"/>
    </row>
    <row r="23" spans="1:12" ht="29.25" thickBot="1" x14ac:dyDescent="0.3">
      <c r="A23" s="4">
        <v>21</v>
      </c>
      <c r="B23" s="22">
        <v>905743739</v>
      </c>
      <c r="C23" s="20" t="s">
        <v>97</v>
      </c>
      <c r="D23" s="5">
        <v>28315180</v>
      </c>
      <c r="E23" s="4">
        <v>24</v>
      </c>
      <c r="F23" s="14"/>
      <c r="G23" s="6">
        <f t="shared" si="0"/>
        <v>24</v>
      </c>
      <c r="H23" s="7">
        <v>46037</v>
      </c>
      <c r="I23" s="8" t="s">
        <v>13</v>
      </c>
      <c r="J23" s="9"/>
      <c r="K23" s="4"/>
      <c r="L23" s="11"/>
    </row>
    <row r="24" spans="1:12" ht="29.25" thickBot="1" x14ac:dyDescent="0.3">
      <c r="A24" s="4">
        <v>22</v>
      </c>
      <c r="B24" s="22">
        <v>905901259</v>
      </c>
      <c r="C24" s="20" t="s">
        <v>98</v>
      </c>
      <c r="D24" s="5">
        <v>28315180</v>
      </c>
      <c r="E24" s="4">
        <v>6</v>
      </c>
      <c r="F24" s="14"/>
      <c r="G24" s="6">
        <f t="shared" si="0"/>
        <v>6</v>
      </c>
      <c r="H24" s="7">
        <v>46037</v>
      </c>
      <c r="I24" s="8" t="s">
        <v>13</v>
      </c>
      <c r="J24" s="9"/>
      <c r="K24" s="4"/>
      <c r="L24" s="11"/>
    </row>
    <row r="25" spans="1:12" ht="41.25" thickBot="1" x14ac:dyDescent="0.3">
      <c r="A25" s="4">
        <v>23</v>
      </c>
      <c r="B25" s="22">
        <v>905727926</v>
      </c>
      <c r="C25" s="20" t="s">
        <v>99</v>
      </c>
      <c r="D25" s="5">
        <v>28315180</v>
      </c>
      <c r="E25" s="4">
        <v>6</v>
      </c>
      <c r="F25" s="14"/>
      <c r="G25" s="6">
        <f t="shared" si="0"/>
        <v>6</v>
      </c>
      <c r="H25" s="7">
        <v>46037</v>
      </c>
      <c r="I25" s="8" t="s">
        <v>13</v>
      </c>
      <c r="J25" s="9"/>
      <c r="K25" s="4"/>
      <c r="L25" s="11"/>
    </row>
    <row r="26" spans="1:12" ht="29.25" thickBot="1" x14ac:dyDescent="0.3">
      <c r="A26" s="4">
        <v>24</v>
      </c>
      <c r="B26" s="22">
        <v>908122018</v>
      </c>
      <c r="C26" s="20" t="s">
        <v>100</v>
      </c>
      <c r="D26" s="5">
        <v>28315180</v>
      </c>
      <c r="E26" s="4">
        <v>2</v>
      </c>
      <c r="F26" s="14"/>
      <c r="G26" s="6">
        <f t="shared" si="0"/>
        <v>2</v>
      </c>
      <c r="H26" s="7">
        <v>46037</v>
      </c>
      <c r="I26" s="8" t="s">
        <v>13</v>
      </c>
      <c r="J26" s="9"/>
      <c r="K26" s="4"/>
      <c r="L26" s="11"/>
    </row>
    <row r="27" spans="1:12" ht="53.25" thickBot="1" x14ac:dyDescent="0.3">
      <c r="A27" s="4">
        <v>25</v>
      </c>
      <c r="B27" s="22">
        <v>908122039</v>
      </c>
      <c r="C27" s="20" t="s">
        <v>101</v>
      </c>
      <c r="D27" s="5">
        <v>28315180</v>
      </c>
      <c r="E27" s="4">
        <v>4</v>
      </c>
      <c r="F27" s="14">
        <f>2+2</f>
        <v>4</v>
      </c>
      <c r="G27" s="6">
        <f t="shared" si="0"/>
        <v>0</v>
      </c>
      <c r="H27" s="7">
        <v>46037</v>
      </c>
      <c r="I27" s="8" t="s">
        <v>13</v>
      </c>
      <c r="J27" s="24" t="s">
        <v>146</v>
      </c>
      <c r="K27" s="4" t="s">
        <v>61</v>
      </c>
      <c r="L27" s="11"/>
    </row>
    <row r="29" spans="1:12" ht="26.25" x14ac:dyDescent="0.25">
      <c r="A29" s="29" t="s">
        <v>0</v>
      </c>
      <c r="B29" s="30" t="s">
        <v>1</v>
      </c>
      <c r="C29" s="29" t="s">
        <v>2</v>
      </c>
      <c r="D29" s="29" t="s">
        <v>4</v>
      </c>
      <c r="E29" s="51" t="s">
        <v>10</v>
      </c>
      <c r="F29" s="52"/>
      <c r="G29" s="49" t="s">
        <v>7</v>
      </c>
      <c r="H29" s="50"/>
    </row>
    <row r="30" spans="1:12" ht="26.25" x14ac:dyDescent="0.25">
      <c r="A30" s="4">
        <v>1</v>
      </c>
      <c r="B30" s="31">
        <v>905728066</v>
      </c>
      <c r="C30" s="32" t="s">
        <v>79</v>
      </c>
      <c r="D30" s="32">
        <f>0.63+0.55+0.7+0.66+0.9+0.95+0.7+0.7+0.98+0.9+0.5+0.82</f>
        <v>8.99</v>
      </c>
      <c r="E30" s="53" t="s">
        <v>61</v>
      </c>
      <c r="F30" s="54"/>
      <c r="G30" s="55">
        <v>46056</v>
      </c>
      <c r="H30" s="54"/>
    </row>
  </sheetData>
  <mergeCells count="5">
    <mergeCell ref="A1:L1"/>
    <mergeCell ref="E29:F29"/>
    <mergeCell ref="G29:H29"/>
    <mergeCell ref="E30:F30"/>
    <mergeCell ref="G30:H30"/>
  </mergeCells>
  <pageMargins left="0.7" right="0.7" top="0.75" bottom="0.75" header="0.3" footer="0.3"/>
  <pageSetup scale="27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A57F-8BE1-4921-B4BA-447B0D7688A8}">
  <sheetPr>
    <pageSetUpPr fitToPage="1"/>
  </sheetPr>
  <dimension ref="A1:L17"/>
  <sheetViews>
    <sheetView zoomScale="78" zoomScaleNormal="78" workbookViewId="0">
      <selection activeCell="B3" sqref="B3:C10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77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908402208</v>
      </c>
      <c r="C3" s="12" t="s">
        <v>58</v>
      </c>
      <c r="D3" s="5">
        <v>28396733</v>
      </c>
      <c r="E3" s="4">
        <v>2</v>
      </c>
      <c r="F3" s="14">
        <v>2</v>
      </c>
      <c r="G3" s="6">
        <f>E3-F3</f>
        <v>0</v>
      </c>
      <c r="H3" s="7">
        <v>46036</v>
      </c>
      <c r="I3" s="8" t="s">
        <v>13</v>
      </c>
      <c r="J3" s="9">
        <v>46040</v>
      </c>
      <c r="K3" s="4" t="s">
        <v>103</v>
      </c>
      <c r="L3" s="11"/>
    </row>
    <row r="4" spans="1:12" ht="28.5" x14ac:dyDescent="0.25">
      <c r="A4" s="4">
        <v>2</v>
      </c>
      <c r="B4" s="12">
        <v>908202030</v>
      </c>
      <c r="C4" s="11" t="s">
        <v>15</v>
      </c>
      <c r="D4" s="5">
        <v>28396733</v>
      </c>
      <c r="E4" s="4">
        <v>2</v>
      </c>
      <c r="F4" s="14"/>
      <c r="G4" s="6">
        <f t="shared" ref="G4:G11" si="0">E4-F4</f>
        <v>2</v>
      </c>
      <c r="H4" s="7">
        <v>46036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2" t="s">
        <v>16</v>
      </c>
      <c r="C5" s="11" t="s">
        <v>19</v>
      </c>
      <c r="D5" s="5">
        <v>28396733</v>
      </c>
      <c r="E5" s="4">
        <v>2</v>
      </c>
      <c r="F5" s="14">
        <v>2</v>
      </c>
      <c r="G5" s="6">
        <f t="shared" si="0"/>
        <v>0</v>
      </c>
      <c r="H5" s="7">
        <v>46036</v>
      </c>
      <c r="I5" s="8" t="s">
        <v>13</v>
      </c>
      <c r="J5" s="9">
        <v>46040</v>
      </c>
      <c r="K5" s="4" t="s">
        <v>103</v>
      </c>
      <c r="L5" s="11"/>
    </row>
    <row r="6" spans="1:12" ht="28.5" x14ac:dyDescent="0.25">
      <c r="A6" s="4">
        <v>4</v>
      </c>
      <c r="B6" s="12">
        <v>908421025</v>
      </c>
      <c r="C6" s="11" t="s">
        <v>59</v>
      </c>
      <c r="D6" s="5">
        <v>28396733</v>
      </c>
      <c r="E6" s="4">
        <v>2</v>
      </c>
      <c r="F6" s="14">
        <v>2</v>
      </c>
      <c r="G6" s="6">
        <f t="shared" si="0"/>
        <v>0</v>
      </c>
      <c r="H6" s="7">
        <v>46036</v>
      </c>
      <c r="I6" s="8" t="s">
        <v>13</v>
      </c>
      <c r="J6" s="9">
        <v>46040</v>
      </c>
      <c r="K6" s="4" t="s">
        <v>103</v>
      </c>
      <c r="L6" s="11"/>
    </row>
    <row r="7" spans="1:12" ht="28.5" x14ac:dyDescent="0.25">
      <c r="A7" s="4">
        <v>5</v>
      </c>
      <c r="B7" s="12">
        <v>908111101</v>
      </c>
      <c r="C7" s="11" t="s">
        <v>47</v>
      </c>
      <c r="D7" s="5">
        <v>28396733</v>
      </c>
      <c r="E7" s="4">
        <v>4</v>
      </c>
      <c r="F7" s="14">
        <v>4</v>
      </c>
      <c r="G7" s="6">
        <f t="shared" si="0"/>
        <v>0</v>
      </c>
      <c r="H7" s="7">
        <v>46036</v>
      </c>
      <c r="I7" s="8" t="s">
        <v>13</v>
      </c>
      <c r="J7" s="9">
        <v>46040</v>
      </c>
      <c r="K7" s="4" t="s">
        <v>103</v>
      </c>
      <c r="L7" s="11"/>
    </row>
    <row r="8" spans="1:12" ht="28.5" x14ac:dyDescent="0.25">
      <c r="A8" s="4">
        <v>6</v>
      </c>
      <c r="B8" s="12">
        <v>908020201</v>
      </c>
      <c r="C8" s="11" t="s">
        <v>12</v>
      </c>
      <c r="D8" s="5">
        <v>28396733</v>
      </c>
      <c r="E8" s="4">
        <v>2</v>
      </c>
      <c r="F8" s="14">
        <v>2</v>
      </c>
      <c r="G8" s="6">
        <f t="shared" si="0"/>
        <v>0</v>
      </c>
      <c r="H8" s="7">
        <v>46036</v>
      </c>
      <c r="I8" s="8" t="s">
        <v>13</v>
      </c>
      <c r="J8" s="9">
        <v>46040</v>
      </c>
      <c r="K8" s="4" t="s">
        <v>103</v>
      </c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28396733</v>
      </c>
      <c r="E9" s="4">
        <v>2</v>
      </c>
      <c r="F9" s="14">
        <v>2</v>
      </c>
      <c r="G9" s="6">
        <f t="shared" si="0"/>
        <v>0</v>
      </c>
      <c r="H9" s="7">
        <v>46036</v>
      </c>
      <c r="I9" s="8" t="s">
        <v>13</v>
      </c>
      <c r="J9" s="9">
        <v>46040</v>
      </c>
      <c r="K9" s="4" t="s">
        <v>103</v>
      </c>
      <c r="L9" s="11"/>
    </row>
    <row r="10" spans="1:12" ht="28.5" x14ac:dyDescent="0.25">
      <c r="A10" s="4">
        <v>8</v>
      </c>
      <c r="B10" s="12">
        <v>908371014</v>
      </c>
      <c r="C10" s="11" t="s">
        <v>76</v>
      </c>
      <c r="D10" s="5">
        <v>28396733</v>
      </c>
      <c r="E10" s="4">
        <v>2</v>
      </c>
      <c r="F10" s="14">
        <v>2</v>
      </c>
      <c r="G10" s="6">
        <f t="shared" si="0"/>
        <v>0</v>
      </c>
      <c r="H10" s="7">
        <v>46036</v>
      </c>
      <c r="I10" s="8" t="s">
        <v>13</v>
      </c>
      <c r="J10" s="9">
        <v>46040</v>
      </c>
      <c r="K10" s="4" t="s">
        <v>103</v>
      </c>
      <c r="L10" s="11"/>
    </row>
    <row r="11" spans="1:12" ht="28.5" x14ac:dyDescent="0.25">
      <c r="A11" s="4">
        <v>9</v>
      </c>
      <c r="B11" s="12">
        <v>908321012</v>
      </c>
      <c r="C11" s="11" t="s">
        <v>121</v>
      </c>
      <c r="D11" s="5"/>
      <c r="E11" s="4">
        <v>1</v>
      </c>
      <c r="F11" s="14">
        <v>1</v>
      </c>
      <c r="G11" s="6">
        <f t="shared" si="0"/>
        <v>0</v>
      </c>
      <c r="H11" s="7">
        <v>46050</v>
      </c>
      <c r="I11" s="8"/>
      <c r="J11" s="9">
        <v>46050</v>
      </c>
      <c r="K11" s="4" t="s">
        <v>61</v>
      </c>
      <c r="L11" s="25" t="s">
        <v>122</v>
      </c>
    </row>
    <row r="12" spans="1:12" ht="28.5" x14ac:dyDescent="0.25">
      <c r="A12" s="4"/>
      <c r="B12" s="12"/>
      <c r="C12" s="11"/>
      <c r="D12" s="5"/>
      <c r="E12" s="4"/>
      <c r="F12" s="14"/>
      <c r="G12" s="6"/>
      <c r="H12" s="7"/>
      <c r="I12" s="8"/>
      <c r="J12" s="9"/>
      <c r="K12" s="4"/>
      <c r="L12" s="11"/>
    </row>
    <row r="13" spans="1:12" ht="28.5" x14ac:dyDescent="0.25">
      <c r="A13" s="4"/>
      <c r="B13" s="12"/>
      <c r="C13" s="11"/>
      <c r="D13" s="5"/>
      <c r="E13" s="4"/>
      <c r="F13" s="14"/>
      <c r="G13" s="6"/>
      <c r="H13" s="7"/>
      <c r="I13" s="8"/>
      <c r="J13" s="9"/>
      <c r="K13" s="4"/>
      <c r="L13" s="11"/>
    </row>
    <row r="16" spans="1:12" ht="26.25" x14ac:dyDescent="0.25">
      <c r="A16" s="1" t="s">
        <v>0</v>
      </c>
      <c r="B16" s="2" t="s">
        <v>1</v>
      </c>
      <c r="C16" s="1" t="s">
        <v>133</v>
      </c>
      <c r="D16" s="1" t="s">
        <v>4</v>
      </c>
      <c r="E16" s="51" t="s">
        <v>10</v>
      </c>
      <c r="F16" s="56"/>
    </row>
    <row r="17" spans="1:6" ht="26.25" x14ac:dyDescent="0.25">
      <c r="A17" s="4">
        <v>1</v>
      </c>
      <c r="B17" s="12">
        <v>908321012</v>
      </c>
      <c r="C17" s="11" t="s">
        <v>121</v>
      </c>
      <c r="D17" s="5">
        <v>1</v>
      </c>
      <c r="E17" s="57" t="s">
        <v>61</v>
      </c>
      <c r="F17" s="58"/>
    </row>
  </sheetData>
  <mergeCells count="3">
    <mergeCell ref="A1:L1"/>
    <mergeCell ref="E16:F16"/>
    <mergeCell ref="E17:F17"/>
  </mergeCells>
  <pageMargins left="0.25" right="0.25" top="0.75" bottom="0.75" header="0.3" footer="0.3"/>
  <pageSetup scale="30" fitToHeight="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8C3F-4004-4007-9549-049E96E649B6}">
  <dimension ref="A1:L8"/>
  <sheetViews>
    <sheetView zoomScale="78" zoomScaleNormal="78" workbookViewId="0">
      <selection activeCell="H11" sqref="H1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75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2">
        <v>908371014</v>
      </c>
      <c r="C3" s="11" t="s">
        <v>76</v>
      </c>
      <c r="D3" s="5">
        <v>28361079</v>
      </c>
      <c r="E3" s="17">
        <v>1</v>
      </c>
      <c r="F3" s="14">
        <v>1</v>
      </c>
      <c r="G3" s="6">
        <f t="shared" ref="G3" si="0">E3-F3</f>
        <v>0</v>
      </c>
      <c r="H3" s="7">
        <v>46030</v>
      </c>
      <c r="I3" s="8" t="s">
        <v>13</v>
      </c>
      <c r="J3" s="7">
        <v>46036</v>
      </c>
      <c r="K3" s="4" t="s">
        <v>49</v>
      </c>
      <c r="L3" s="15"/>
    </row>
    <row r="8" spans="1:12" x14ac:dyDescent="0.25">
      <c r="D8">
        <v>8</v>
      </c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2C2-DDD3-4F35-A956-C56AE17C9030}">
  <dimension ref="A1:L14"/>
  <sheetViews>
    <sheetView zoomScale="78" zoomScaleNormal="78" workbookViewId="0">
      <selection activeCell="F22" sqref="F22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74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908122011</v>
      </c>
      <c r="C3" s="11" t="s">
        <v>55</v>
      </c>
      <c r="D3" s="5"/>
      <c r="E3" s="4"/>
      <c r="F3" s="14">
        <v>3</v>
      </c>
      <c r="G3" s="6">
        <f>E3-F3</f>
        <v>-3</v>
      </c>
      <c r="H3" s="7"/>
      <c r="I3" s="8"/>
      <c r="J3" s="9">
        <v>46039</v>
      </c>
      <c r="K3" s="4" t="s">
        <v>116</v>
      </c>
      <c r="L3" s="11"/>
    </row>
    <row r="4" spans="1:12" ht="28.5" x14ac:dyDescent="0.25">
      <c r="A4" s="4">
        <v>2</v>
      </c>
      <c r="B4" s="10">
        <v>908121010</v>
      </c>
      <c r="C4" s="11" t="s">
        <v>22</v>
      </c>
      <c r="D4" s="5"/>
      <c r="E4" s="4">
        <v>1</v>
      </c>
      <c r="F4" s="14">
        <v>1</v>
      </c>
      <c r="G4" s="6">
        <f t="shared" ref="G4:G13" si="0">E4-F4</f>
        <v>0</v>
      </c>
      <c r="H4" s="7">
        <v>46110</v>
      </c>
      <c r="I4" s="8" t="s">
        <v>13</v>
      </c>
      <c r="J4" s="9">
        <v>46039</v>
      </c>
      <c r="K4" s="4" t="s">
        <v>116</v>
      </c>
      <c r="L4" s="11"/>
    </row>
    <row r="5" spans="1:12" ht="28.5" x14ac:dyDescent="0.25">
      <c r="A5" s="4">
        <v>3</v>
      </c>
      <c r="B5" s="10">
        <v>908402208</v>
      </c>
      <c r="C5" s="11" t="s">
        <v>58</v>
      </c>
      <c r="D5" s="5">
        <v>28951679</v>
      </c>
      <c r="E5" s="4">
        <v>5</v>
      </c>
      <c r="F5" s="14">
        <v>5</v>
      </c>
      <c r="G5" s="6">
        <f t="shared" si="0"/>
        <v>0</v>
      </c>
      <c r="H5" s="7">
        <v>46127</v>
      </c>
      <c r="I5" s="8" t="s">
        <v>13</v>
      </c>
      <c r="J5" s="9">
        <v>46114</v>
      </c>
      <c r="K5" s="4" t="s">
        <v>116</v>
      </c>
      <c r="L5" s="11"/>
    </row>
    <row r="6" spans="1:12" ht="28.5" x14ac:dyDescent="0.25">
      <c r="A6" s="4">
        <v>4</v>
      </c>
      <c r="B6" s="10">
        <v>908202030</v>
      </c>
      <c r="C6" s="11" t="s">
        <v>15</v>
      </c>
      <c r="D6" s="5">
        <v>28951679</v>
      </c>
      <c r="E6" s="4">
        <v>3</v>
      </c>
      <c r="F6" s="14">
        <v>3</v>
      </c>
      <c r="G6" s="6">
        <f t="shared" si="0"/>
        <v>0</v>
      </c>
      <c r="H6" s="7">
        <v>46127</v>
      </c>
      <c r="I6" s="8" t="s">
        <v>13</v>
      </c>
      <c r="J6" s="9">
        <v>46114</v>
      </c>
      <c r="K6" s="4" t="s">
        <v>116</v>
      </c>
      <c r="L6" s="11"/>
    </row>
    <row r="7" spans="1:12" ht="28.5" x14ac:dyDescent="0.25">
      <c r="A7" s="4">
        <v>5</v>
      </c>
      <c r="B7" s="10" t="s">
        <v>16</v>
      </c>
      <c r="C7" s="11" t="s">
        <v>19</v>
      </c>
      <c r="D7" s="5">
        <v>28951679</v>
      </c>
      <c r="E7" s="4">
        <v>2</v>
      </c>
      <c r="F7" s="14">
        <v>3</v>
      </c>
      <c r="G7" s="6">
        <f t="shared" si="0"/>
        <v>-1</v>
      </c>
      <c r="H7" s="7">
        <v>46127</v>
      </c>
      <c r="I7" s="8" t="s">
        <v>13</v>
      </c>
      <c r="J7" s="9">
        <v>46114</v>
      </c>
      <c r="K7" s="4" t="s">
        <v>116</v>
      </c>
      <c r="L7" s="11"/>
    </row>
    <row r="8" spans="1:12" ht="28.5" x14ac:dyDescent="0.25">
      <c r="A8" s="4">
        <v>6</v>
      </c>
      <c r="B8" s="10">
        <v>908421025</v>
      </c>
      <c r="C8" s="11" t="s">
        <v>59</v>
      </c>
      <c r="D8" s="5">
        <v>28951679</v>
      </c>
      <c r="E8" s="4">
        <v>1</v>
      </c>
      <c r="F8" s="14">
        <v>1</v>
      </c>
      <c r="G8" s="6">
        <f t="shared" si="0"/>
        <v>0</v>
      </c>
      <c r="H8" s="7">
        <v>46127</v>
      </c>
      <c r="I8" s="8" t="s">
        <v>13</v>
      </c>
      <c r="J8" s="9">
        <v>46114</v>
      </c>
      <c r="K8" s="4" t="s">
        <v>116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>
        <v>28951679</v>
      </c>
      <c r="E9" s="4">
        <v>6</v>
      </c>
      <c r="F9" s="14">
        <v>6</v>
      </c>
      <c r="G9" s="6">
        <f t="shared" si="0"/>
        <v>0</v>
      </c>
      <c r="H9" s="7"/>
      <c r="I9" s="8"/>
      <c r="J9" s="9">
        <v>46114</v>
      </c>
      <c r="K9" s="4" t="s">
        <v>116</v>
      </c>
      <c r="L9" s="11"/>
    </row>
    <row r="10" spans="1:12" ht="28.5" x14ac:dyDescent="0.25">
      <c r="A10" s="4">
        <v>8</v>
      </c>
      <c r="B10" s="10">
        <v>908020201</v>
      </c>
      <c r="C10" s="11" t="s">
        <v>12</v>
      </c>
      <c r="D10" s="5">
        <v>28951679</v>
      </c>
      <c r="E10" s="4">
        <v>3</v>
      </c>
      <c r="F10" s="14"/>
      <c r="G10" s="6">
        <f t="shared" si="0"/>
        <v>3</v>
      </c>
      <c r="H10" s="7">
        <v>46127</v>
      </c>
      <c r="I10" s="8" t="s">
        <v>13</v>
      </c>
      <c r="J10" s="9"/>
      <c r="K10" s="4"/>
      <c r="L10" s="11"/>
    </row>
    <row r="11" spans="1:12" ht="28.5" x14ac:dyDescent="0.25">
      <c r="A11" s="4">
        <v>9</v>
      </c>
      <c r="B11" s="10">
        <v>908202189</v>
      </c>
      <c r="C11" s="11" t="s">
        <v>18</v>
      </c>
      <c r="D11" s="5">
        <v>28951679</v>
      </c>
      <c r="E11" s="4">
        <v>3</v>
      </c>
      <c r="F11" s="14">
        <v>3</v>
      </c>
      <c r="G11" s="6">
        <f t="shared" si="0"/>
        <v>0</v>
      </c>
      <c r="H11" s="7">
        <v>46127</v>
      </c>
      <c r="I11" s="8" t="s">
        <v>13</v>
      </c>
      <c r="J11" s="9">
        <v>46114</v>
      </c>
      <c r="K11" s="4" t="s">
        <v>116</v>
      </c>
      <c r="L11" s="11"/>
    </row>
    <row r="12" spans="1:12" ht="28.5" x14ac:dyDescent="0.25">
      <c r="A12" s="4">
        <v>10</v>
      </c>
      <c r="B12" s="10">
        <v>908371013</v>
      </c>
      <c r="C12" s="11" t="s">
        <v>110</v>
      </c>
      <c r="D12" s="5">
        <v>28951679</v>
      </c>
      <c r="E12" s="4">
        <v>5</v>
      </c>
      <c r="F12" s="14">
        <v>5</v>
      </c>
      <c r="G12" s="6">
        <f t="shared" si="0"/>
        <v>0</v>
      </c>
      <c r="H12" s="7">
        <v>46127</v>
      </c>
      <c r="I12" s="8" t="s">
        <v>13</v>
      </c>
      <c r="J12" s="9">
        <v>46114</v>
      </c>
      <c r="K12" s="4" t="s">
        <v>116</v>
      </c>
      <c r="L12" s="11"/>
    </row>
    <row r="13" spans="1:12" ht="28.5" x14ac:dyDescent="0.25">
      <c r="A13" s="4">
        <v>11</v>
      </c>
      <c r="B13" s="10">
        <v>908421031</v>
      </c>
      <c r="C13" s="11" t="s">
        <v>111</v>
      </c>
      <c r="D13" s="5">
        <v>28951679</v>
      </c>
      <c r="E13" s="4">
        <v>2</v>
      </c>
      <c r="F13" s="14">
        <v>2</v>
      </c>
      <c r="G13" s="6">
        <f t="shared" si="0"/>
        <v>0</v>
      </c>
      <c r="H13" s="7">
        <v>46134</v>
      </c>
      <c r="I13" s="8" t="s">
        <v>13</v>
      </c>
      <c r="J13" s="9">
        <v>46114</v>
      </c>
      <c r="K13" s="4" t="s">
        <v>116</v>
      </c>
      <c r="L13" s="11"/>
    </row>
    <row r="14" spans="1:12" ht="28.5" x14ac:dyDescent="0.25">
      <c r="A14" s="4"/>
      <c r="B14" s="10"/>
      <c r="C14" s="11"/>
      <c r="D14" s="5"/>
      <c r="E14" s="4"/>
      <c r="F14" s="14"/>
      <c r="G14" s="6"/>
      <c r="H14" s="7"/>
      <c r="I14" s="8"/>
      <c r="J14" s="9"/>
      <c r="K14" s="4"/>
      <c r="L14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4E2F-B532-4D73-9343-A95807CD3A97}">
  <dimension ref="A1:L18"/>
  <sheetViews>
    <sheetView topLeftCell="A4" zoomScale="78" zoomScaleNormal="78" workbookViewId="0">
      <selection activeCell="C23" sqref="C23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73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908312027</v>
      </c>
      <c r="C3" s="11" t="s">
        <v>33</v>
      </c>
      <c r="D3" s="5">
        <v>28393646</v>
      </c>
      <c r="E3" s="4">
        <v>1</v>
      </c>
      <c r="F3" s="14">
        <v>1</v>
      </c>
      <c r="G3" s="6">
        <f>E3-F3</f>
        <v>0</v>
      </c>
      <c r="H3" s="7">
        <v>46036</v>
      </c>
      <c r="I3" s="8" t="s">
        <v>13</v>
      </c>
      <c r="J3" s="9">
        <v>46060</v>
      </c>
      <c r="K3" s="4" t="s">
        <v>116</v>
      </c>
      <c r="L3" s="11"/>
    </row>
    <row r="4" spans="1:12" ht="42" x14ac:dyDescent="0.25">
      <c r="A4" s="4">
        <v>4</v>
      </c>
      <c r="B4" s="10">
        <v>908202030</v>
      </c>
      <c r="C4" s="11" t="s">
        <v>15</v>
      </c>
      <c r="D4" s="26" t="s">
        <v>214</v>
      </c>
      <c r="E4" s="4">
        <f>2+2</f>
        <v>4</v>
      </c>
      <c r="F4" s="14">
        <v>2</v>
      </c>
      <c r="G4" s="6">
        <f t="shared" ref="G4:G17" si="0">E4-F4</f>
        <v>2</v>
      </c>
      <c r="H4" s="7" t="s">
        <v>215</v>
      </c>
      <c r="I4" s="8" t="s">
        <v>13</v>
      </c>
      <c r="J4" s="9">
        <v>46060</v>
      </c>
      <c r="K4" s="4" t="s">
        <v>116</v>
      </c>
      <c r="L4" s="11"/>
    </row>
    <row r="5" spans="1:12" ht="52.5" x14ac:dyDescent="0.25">
      <c r="A5" s="4">
        <v>5</v>
      </c>
      <c r="B5" s="10" t="s">
        <v>16</v>
      </c>
      <c r="C5" s="11" t="s">
        <v>19</v>
      </c>
      <c r="D5" s="26" t="s">
        <v>214</v>
      </c>
      <c r="E5" s="4">
        <f>2+2</f>
        <v>4</v>
      </c>
      <c r="F5" s="14">
        <f>2+1</f>
        <v>3</v>
      </c>
      <c r="G5" s="6">
        <f t="shared" si="0"/>
        <v>1</v>
      </c>
      <c r="H5" s="7" t="s">
        <v>215</v>
      </c>
      <c r="I5" s="8" t="s">
        <v>13</v>
      </c>
      <c r="J5" s="24" t="s">
        <v>223</v>
      </c>
      <c r="K5" s="4" t="s">
        <v>116</v>
      </c>
      <c r="L5" s="11"/>
    </row>
    <row r="6" spans="1:12" ht="52.5" x14ac:dyDescent="0.25">
      <c r="A6" s="4">
        <v>6</v>
      </c>
      <c r="B6" s="10">
        <v>908202098</v>
      </c>
      <c r="C6" s="11" t="s">
        <v>20</v>
      </c>
      <c r="D6" s="5">
        <v>28393646</v>
      </c>
      <c r="E6" s="4">
        <v>2</v>
      </c>
      <c r="F6" s="14">
        <f>2+1</f>
        <v>3</v>
      </c>
      <c r="G6" s="6">
        <f t="shared" si="0"/>
        <v>-1</v>
      </c>
      <c r="H6" s="7">
        <v>46036</v>
      </c>
      <c r="I6" s="8" t="s">
        <v>13</v>
      </c>
      <c r="J6" s="24" t="s">
        <v>223</v>
      </c>
      <c r="K6" s="4" t="s">
        <v>116</v>
      </c>
      <c r="L6" s="11"/>
    </row>
    <row r="7" spans="1:12" ht="52.5" x14ac:dyDescent="0.25">
      <c r="A7" s="4">
        <v>7</v>
      </c>
      <c r="B7" s="10">
        <v>908111101</v>
      </c>
      <c r="C7" s="11" t="s">
        <v>47</v>
      </c>
      <c r="D7" s="5">
        <v>28393646</v>
      </c>
      <c r="E7" s="4">
        <v>6</v>
      </c>
      <c r="F7" s="14">
        <f>6+2</f>
        <v>8</v>
      </c>
      <c r="G7" s="6">
        <f t="shared" si="0"/>
        <v>-2</v>
      </c>
      <c r="H7" s="7">
        <v>46036</v>
      </c>
      <c r="I7" s="8" t="s">
        <v>13</v>
      </c>
      <c r="J7" s="24" t="s">
        <v>223</v>
      </c>
      <c r="K7" s="4" t="s">
        <v>116</v>
      </c>
      <c r="L7" s="11"/>
    </row>
    <row r="8" spans="1:12" ht="42" x14ac:dyDescent="0.25">
      <c r="A8" s="4">
        <v>8</v>
      </c>
      <c r="B8" s="10">
        <v>908020201</v>
      </c>
      <c r="C8" s="11" t="s">
        <v>12</v>
      </c>
      <c r="D8" s="26" t="s">
        <v>214</v>
      </c>
      <c r="E8" s="4">
        <f>1+1</f>
        <v>2</v>
      </c>
      <c r="F8" s="14"/>
      <c r="G8" s="6">
        <f t="shared" si="0"/>
        <v>2</v>
      </c>
      <c r="H8" s="7" t="s">
        <v>238</v>
      </c>
      <c r="I8" s="8" t="s">
        <v>13</v>
      </c>
      <c r="J8" s="9"/>
      <c r="K8" s="4"/>
      <c r="L8" s="11"/>
    </row>
    <row r="9" spans="1:12" ht="28.5" x14ac:dyDescent="0.25">
      <c r="A9" s="4">
        <v>9</v>
      </c>
      <c r="B9" s="10" t="s">
        <v>50</v>
      </c>
      <c r="C9" s="11" t="s">
        <v>51</v>
      </c>
      <c r="D9" s="5">
        <v>28393646</v>
      </c>
      <c r="E9" s="4">
        <v>6</v>
      </c>
      <c r="F9" s="14">
        <v>5</v>
      </c>
      <c r="G9" s="6">
        <f t="shared" si="0"/>
        <v>1</v>
      </c>
      <c r="H9" s="7">
        <v>46036</v>
      </c>
      <c r="I9" s="8" t="s">
        <v>13</v>
      </c>
      <c r="J9" s="9">
        <v>46060</v>
      </c>
      <c r="K9" s="4" t="s">
        <v>116</v>
      </c>
      <c r="L9" s="11"/>
    </row>
    <row r="10" spans="1:12" ht="28.5" x14ac:dyDescent="0.25">
      <c r="A10" s="4">
        <v>10</v>
      </c>
      <c r="B10" s="10" t="s">
        <v>52</v>
      </c>
      <c r="C10" s="11" t="s">
        <v>53</v>
      </c>
      <c r="D10" s="5">
        <v>28393646</v>
      </c>
      <c r="E10" s="4">
        <v>160</v>
      </c>
      <c r="F10" s="14">
        <v>156</v>
      </c>
      <c r="G10" s="6">
        <f t="shared" si="0"/>
        <v>4</v>
      </c>
      <c r="H10" s="7">
        <v>46036</v>
      </c>
      <c r="I10" s="8" t="s">
        <v>13</v>
      </c>
      <c r="J10" s="9">
        <v>46060</v>
      </c>
      <c r="K10" s="4" t="s">
        <v>116</v>
      </c>
      <c r="L10" s="11"/>
    </row>
    <row r="11" spans="1:12" ht="28.5" x14ac:dyDescent="0.25">
      <c r="A11" s="4">
        <v>11</v>
      </c>
      <c r="B11" s="10">
        <v>908122011</v>
      </c>
      <c r="C11" s="11" t="s">
        <v>55</v>
      </c>
      <c r="D11" s="5">
        <v>28393646</v>
      </c>
      <c r="E11" s="4">
        <v>3</v>
      </c>
      <c r="F11" s="14"/>
      <c r="G11" s="6">
        <f t="shared" si="0"/>
        <v>3</v>
      </c>
      <c r="H11" s="7">
        <v>46036</v>
      </c>
      <c r="I11" s="8" t="s">
        <v>13</v>
      </c>
      <c r="J11" s="9"/>
      <c r="K11" s="4"/>
      <c r="L11" s="11"/>
    </row>
    <row r="12" spans="1:12" ht="28.5" x14ac:dyDescent="0.25">
      <c r="A12" s="4">
        <v>12</v>
      </c>
      <c r="B12" s="10">
        <v>908121008</v>
      </c>
      <c r="C12" s="11" t="s">
        <v>14</v>
      </c>
      <c r="D12" s="5">
        <v>28393646</v>
      </c>
      <c r="E12" s="4">
        <v>1</v>
      </c>
      <c r="F12" s="14">
        <v>1</v>
      </c>
      <c r="G12" s="6">
        <f t="shared" si="0"/>
        <v>0</v>
      </c>
      <c r="H12" s="7">
        <v>46036</v>
      </c>
      <c r="I12" s="8" t="s">
        <v>13</v>
      </c>
      <c r="J12" s="9">
        <v>46060</v>
      </c>
      <c r="K12" s="4" t="s">
        <v>116</v>
      </c>
      <c r="L12" s="11"/>
    </row>
    <row r="13" spans="1:12" ht="28.5" x14ac:dyDescent="0.25">
      <c r="A13" s="4">
        <v>13</v>
      </c>
      <c r="B13" s="10">
        <v>908121010</v>
      </c>
      <c r="C13" s="11" t="s">
        <v>22</v>
      </c>
      <c r="D13" s="5">
        <v>28393646</v>
      </c>
      <c r="E13" s="4">
        <v>2</v>
      </c>
      <c r="F13" s="14">
        <v>1</v>
      </c>
      <c r="G13" s="6">
        <f t="shared" si="0"/>
        <v>1</v>
      </c>
      <c r="H13" s="7">
        <v>46036</v>
      </c>
      <c r="I13" s="8" t="s">
        <v>13</v>
      </c>
      <c r="J13" s="9">
        <v>46060</v>
      </c>
      <c r="K13" s="4" t="s">
        <v>116</v>
      </c>
      <c r="L13" s="11"/>
    </row>
    <row r="14" spans="1:12" ht="28.5" x14ac:dyDescent="0.25">
      <c r="A14" s="4">
        <v>14</v>
      </c>
      <c r="B14" s="10">
        <v>908371003</v>
      </c>
      <c r="C14" s="11" t="s">
        <v>132</v>
      </c>
      <c r="D14" s="5">
        <v>28749262</v>
      </c>
      <c r="E14" s="4">
        <v>1</v>
      </c>
      <c r="F14" s="14">
        <v>1</v>
      </c>
      <c r="G14" s="6">
        <f t="shared" si="0"/>
        <v>0</v>
      </c>
      <c r="H14" s="7">
        <v>46096</v>
      </c>
      <c r="I14" s="8" t="s">
        <v>13</v>
      </c>
      <c r="J14" s="9">
        <v>46098</v>
      </c>
      <c r="K14" s="4" t="s">
        <v>116</v>
      </c>
      <c r="L14" s="11"/>
    </row>
    <row r="15" spans="1:12" ht="28.5" x14ac:dyDescent="0.25">
      <c r="A15" s="4">
        <v>15</v>
      </c>
      <c r="B15" s="10">
        <v>908421025</v>
      </c>
      <c r="C15" s="11" t="s">
        <v>59</v>
      </c>
      <c r="D15" s="5">
        <v>28749262</v>
      </c>
      <c r="E15" s="4">
        <v>1</v>
      </c>
      <c r="F15" s="14">
        <v>1</v>
      </c>
      <c r="G15" s="6">
        <f t="shared" si="0"/>
        <v>0</v>
      </c>
      <c r="H15" s="7">
        <v>46096</v>
      </c>
      <c r="I15" s="8" t="s">
        <v>13</v>
      </c>
      <c r="J15" s="9">
        <v>46098</v>
      </c>
      <c r="K15" s="4" t="s">
        <v>116</v>
      </c>
      <c r="L15" s="11"/>
    </row>
    <row r="16" spans="1:12" ht="28.5" x14ac:dyDescent="0.25">
      <c r="A16" s="4">
        <v>16</v>
      </c>
      <c r="B16" s="12">
        <v>908402208</v>
      </c>
      <c r="C16" s="12" t="s">
        <v>58</v>
      </c>
      <c r="D16" s="5">
        <v>28749262</v>
      </c>
      <c r="E16" s="4">
        <v>1</v>
      </c>
      <c r="F16" s="14">
        <v>1</v>
      </c>
      <c r="G16" s="6">
        <f t="shared" si="0"/>
        <v>0</v>
      </c>
      <c r="H16" s="7">
        <v>46096</v>
      </c>
      <c r="I16" s="8" t="s">
        <v>13</v>
      </c>
      <c r="J16" s="9">
        <v>46098</v>
      </c>
      <c r="K16" s="4" t="s">
        <v>116</v>
      </c>
      <c r="L16" s="11"/>
    </row>
    <row r="17" spans="1:12" ht="28.5" x14ac:dyDescent="0.25">
      <c r="A17" s="4">
        <v>17</v>
      </c>
      <c r="B17" s="12">
        <v>908202189</v>
      </c>
      <c r="C17" s="12" t="s">
        <v>18</v>
      </c>
      <c r="D17" s="5">
        <v>28749262</v>
      </c>
      <c r="E17" s="4">
        <v>1</v>
      </c>
      <c r="F17" s="14"/>
      <c r="G17" s="6">
        <f t="shared" si="0"/>
        <v>1</v>
      </c>
      <c r="H17" s="7">
        <v>46114</v>
      </c>
      <c r="I17" s="8" t="s">
        <v>13</v>
      </c>
      <c r="J17" s="9"/>
      <c r="K17" s="4"/>
      <c r="L17" s="11"/>
    </row>
    <row r="18" spans="1:12" x14ac:dyDescent="0.25">
      <c r="D18">
        <v>8</v>
      </c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1D5B-84A7-4127-9E8F-D2D1C1123ED2}">
  <dimension ref="A1:L25"/>
  <sheetViews>
    <sheetView topLeftCell="A4" zoomScale="78" zoomScaleNormal="78" workbookViewId="0">
      <selection activeCell="H28" sqref="H28"/>
    </sheetView>
  </sheetViews>
  <sheetFormatPr defaultRowHeight="30" customHeight="1" x14ac:dyDescent="0.25"/>
  <cols>
    <col min="2" max="2" width="20.140625" bestFit="1" customWidth="1"/>
    <col min="3" max="3" width="84" bestFit="1" customWidth="1"/>
    <col min="4" max="4" width="24.42578125" bestFit="1" customWidth="1"/>
    <col min="5" max="5" width="22.42578125" bestFit="1" customWidth="1"/>
    <col min="6" max="6" width="21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6.75" customHeight="1" x14ac:dyDescent="0.25">
      <c r="A1" s="46" t="s">
        <v>68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54" customHeight="1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30" customHeight="1" x14ac:dyDescent="0.25">
      <c r="A3" s="4">
        <v>1</v>
      </c>
      <c r="B3" s="19" t="s">
        <v>16</v>
      </c>
      <c r="C3" s="11" t="s">
        <v>19</v>
      </c>
      <c r="D3" s="4">
        <v>28394530</v>
      </c>
      <c r="E3" s="4">
        <v>4</v>
      </c>
      <c r="F3" s="14">
        <v>4</v>
      </c>
      <c r="G3" s="6">
        <f t="shared" ref="G3:G6" si="0">E3-F3</f>
        <v>0</v>
      </c>
      <c r="H3" s="16">
        <v>46037</v>
      </c>
      <c r="I3" s="11" t="s">
        <v>13</v>
      </c>
      <c r="J3" s="18">
        <v>46088</v>
      </c>
      <c r="K3" s="4" t="s">
        <v>103</v>
      </c>
      <c r="L3" s="15"/>
    </row>
    <row r="4" spans="1:12" ht="30" customHeight="1" x14ac:dyDescent="0.25">
      <c r="A4" s="4">
        <v>2</v>
      </c>
      <c r="B4" s="19">
        <v>908569100</v>
      </c>
      <c r="C4" s="12" t="s">
        <v>71</v>
      </c>
      <c r="D4" s="4">
        <v>28394530</v>
      </c>
      <c r="E4" s="4">
        <v>1</v>
      </c>
      <c r="F4" s="14">
        <v>1</v>
      </c>
      <c r="G4" s="6">
        <f t="shared" si="0"/>
        <v>0</v>
      </c>
      <c r="H4" s="16">
        <v>46037</v>
      </c>
      <c r="I4" s="11" t="s">
        <v>13</v>
      </c>
      <c r="J4" s="18">
        <v>46067</v>
      </c>
      <c r="K4" s="4" t="s">
        <v>103</v>
      </c>
      <c r="L4" s="15"/>
    </row>
    <row r="5" spans="1:12" ht="30" customHeight="1" x14ac:dyDescent="0.25">
      <c r="A5" s="4">
        <v>3</v>
      </c>
      <c r="B5" s="19">
        <v>907004005</v>
      </c>
      <c r="C5" s="12" t="s">
        <v>72</v>
      </c>
      <c r="D5" s="4">
        <v>28394530</v>
      </c>
      <c r="E5" s="4">
        <v>9</v>
      </c>
      <c r="F5" s="14"/>
      <c r="G5" s="6">
        <f t="shared" si="0"/>
        <v>9</v>
      </c>
      <c r="H5" s="16">
        <v>46037</v>
      </c>
      <c r="I5" s="11" t="s">
        <v>13</v>
      </c>
      <c r="J5" s="18"/>
      <c r="K5" s="4"/>
      <c r="L5" s="15"/>
    </row>
    <row r="6" spans="1:12" ht="30" customHeight="1" x14ac:dyDescent="0.25">
      <c r="A6" s="4">
        <v>4</v>
      </c>
      <c r="B6" s="19">
        <v>908111102</v>
      </c>
      <c r="C6" s="12" t="s">
        <v>32</v>
      </c>
      <c r="D6" s="4">
        <v>28394530</v>
      </c>
      <c r="E6" s="4">
        <v>25</v>
      </c>
      <c r="F6" s="14">
        <v>25</v>
      </c>
      <c r="G6" s="6">
        <f t="shared" si="0"/>
        <v>0</v>
      </c>
      <c r="H6" s="16">
        <v>46037</v>
      </c>
      <c r="I6" s="11" t="s">
        <v>13</v>
      </c>
      <c r="J6" s="18">
        <v>46088</v>
      </c>
      <c r="K6" s="4" t="s">
        <v>103</v>
      </c>
      <c r="L6" s="15"/>
    </row>
    <row r="7" spans="1:12" ht="30" customHeight="1" x14ac:dyDescent="0.25">
      <c r="A7" s="4">
        <v>5</v>
      </c>
      <c r="B7" s="19">
        <v>908121009</v>
      </c>
      <c r="C7" s="12" t="s">
        <v>38</v>
      </c>
      <c r="D7" s="4">
        <v>28394530</v>
      </c>
      <c r="E7" s="4">
        <v>1</v>
      </c>
      <c r="F7" s="14">
        <v>1</v>
      </c>
      <c r="G7" s="6">
        <f>E7-F7</f>
        <v>0</v>
      </c>
      <c r="H7" s="16">
        <v>46037</v>
      </c>
      <c r="I7" s="11" t="s">
        <v>13</v>
      </c>
      <c r="J7" s="18">
        <v>46090</v>
      </c>
      <c r="K7" s="4" t="s">
        <v>103</v>
      </c>
      <c r="L7" s="15"/>
    </row>
    <row r="8" spans="1:12" ht="39" customHeight="1" x14ac:dyDescent="0.25">
      <c r="A8" s="4">
        <v>6</v>
      </c>
      <c r="B8" s="19">
        <v>905741282</v>
      </c>
      <c r="C8" s="12" t="s">
        <v>69</v>
      </c>
      <c r="D8" s="4">
        <v>28394530</v>
      </c>
      <c r="E8" s="4">
        <v>3</v>
      </c>
      <c r="F8" s="14"/>
      <c r="G8" s="6">
        <f t="shared" ref="G8:G21" si="1">E8-F8</f>
        <v>3</v>
      </c>
      <c r="H8" s="16">
        <v>46037</v>
      </c>
      <c r="I8" s="11" t="s">
        <v>13</v>
      </c>
      <c r="J8" s="18"/>
      <c r="K8" s="4"/>
      <c r="L8" s="15"/>
    </row>
    <row r="9" spans="1:12" ht="41.25" customHeight="1" x14ac:dyDescent="0.25">
      <c r="A9" s="4">
        <v>7</v>
      </c>
      <c r="B9" s="19">
        <v>908121040</v>
      </c>
      <c r="C9" s="12" t="s">
        <v>70</v>
      </c>
      <c r="D9" s="4">
        <v>28394530</v>
      </c>
      <c r="E9" s="4">
        <v>2</v>
      </c>
      <c r="F9" s="14">
        <v>2</v>
      </c>
      <c r="G9" s="6">
        <f t="shared" si="1"/>
        <v>0</v>
      </c>
      <c r="H9" s="16">
        <v>46037</v>
      </c>
      <c r="I9" s="11" t="s">
        <v>13</v>
      </c>
      <c r="J9" s="18">
        <v>46088</v>
      </c>
      <c r="K9" s="4" t="s">
        <v>103</v>
      </c>
      <c r="L9" s="15"/>
    </row>
    <row r="10" spans="1:12" ht="30" customHeight="1" x14ac:dyDescent="0.25">
      <c r="A10" s="4">
        <v>8</v>
      </c>
      <c r="B10" s="19">
        <v>908020201</v>
      </c>
      <c r="C10" s="11" t="s">
        <v>12</v>
      </c>
      <c r="D10" s="4">
        <v>28394530</v>
      </c>
      <c r="E10" s="4">
        <v>2</v>
      </c>
      <c r="F10" s="14">
        <v>2</v>
      </c>
      <c r="G10" s="6">
        <f t="shared" ref="G10" si="2">E10-F10</f>
        <v>0</v>
      </c>
      <c r="H10" s="16">
        <v>46037</v>
      </c>
      <c r="I10" s="11" t="s">
        <v>13</v>
      </c>
      <c r="J10" s="18">
        <v>46088</v>
      </c>
      <c r="K10" s="4" t="s">
        <v>103</v>
      </c>
      <c r="L10" s="15"/>
    </row>
    <row r="11" spans="1:12" ht="30" customHeight="1" x14ac:dyDescent="0.25">
      <c r="A11" s="4">
        <v>9</v>
      </c>
      <c r="B11" s="19">
        <v>908202189</v>
      </c>
      <c r="C11" s="11" t="s">
        <v>18</v>
      </c>
      <c r="D11" s="4">
        <v>28394530</v>
      </c>
      <c r="E11" s="4">
        <v>5</v>
      </c>
      <c r="F11" s="14">
        <v>5</v>
      </c>
      <c r="G11" s="6">
        <f t="shared" si="1"/>
        <v>0</v>
      </c>
      <c r="H11" s="16">
        <v>46037</v>
      </c>
      <c r="I11" s="11" t="s">
        <v>13</v>
      </c>
      <c r="J11" s="18">
        <v>46088</v>
      </c>
      <c r="K11" s="4" t="s">
        <v>103</v>
      </c>
      <c r="L11" s="15"/>
    </row>
    <row r="12" spans="1:12" ht="30" customHeight="1" x14ac:dyDescent="0.25">
      <c r="A12" s="4">
        <v>10</v>
      </c>
      <c r="B12" s="19" t="s">
        <v>17</v>
      </c>
      <c r="C12" s="11" t="s">
        <v>21</v>
      </c>
      <c r="D12" s="4">
        <v>28394530</v>
      </c>
      <c r="E12" s="4">
        <v>4</v>
      </c>
      <c r="F12" s="14">
        <v>4</v>
      </c>
      <c r="G12" s="6">
        <f t="shared" si="1"/>
        <v>0</v>
      </c>
      <c r="H12" s="16">
        <v>46037</v>
      </c>
      <c r="I12" s="11" t="s">
        <v>13</v>
      </c>
      <c r="J12" s="18">
        <v>46088</v>
      </c>
      <c r="K12" s="4" t="s">
        <v>103</v>
      </c>
      <c r="L12" s="15"/>
    </row>
    <row r="13" spans="1:12" ht="30" customHeight="1" x14ac:dyDescent="0.25">
      <c r="A13" s="4">
        <v>11</v>
      </c>
      <c r="B13" s="19">
        <v>908111006</v>
      </c>
      <c r="C13" s="11" t="s">
        <v>60</v>
      </c>
      <c r="D13" s="4">
        <v>28394530</v>
      </c>
      <c r="E13" s="4">
        <v>20</v>
      </c>
      <c r="F13" s="14">
        <v>16</v>
      </c>
      <c r="G13" s="6">
        <f t="shared" si="1"/>
        <v>4</v>
      </c>
      <c r="H13" s="16">
        <v>46037</v>
      </c>
      <c r="I13" s="11" t="s">
        <v>13</v>
      </c>
      <c r="J13" s="18">
        <v>46090</v>
      </c>
      <c r="K13" s="4" t="s">
        <v>103</v>
      </c>
      <c r="L13" s="15"/>
    </row>
    <row r="14" spans="1:12" ht="30" customHeight="1" x14ac:dyDescent="0.25">
      <c r="A14" s="4">
        <v>12</v>
      </c>
      <c r="B14" s="19">
        <v>905700924</v>
      </c>
      <c r="C14" s="11" t="s">
        <v>114</v>
      </c>
      <c r="D14" s="4">
        <v>28394530</v>
      </c>
      <c r="E14" s="4">
        <v>300</v>
      </c>
      <c r="F14" s="14"/>
      <c r="G14" s="6">
        <f t="shared" si="1"/>
        <v>300</v>
      </c>
      <c r="H14" s="16">
        <v>46037</v>
      </c>
      <c r="I14" s="11" t="s">
        <v>13</v>
      </c>
      <c r="J14" s="18"/>
      <c r="K14" s="4"/>
      <c r="L14" s="15"/>
    </row>
    <row r="15" spans="1:12" ht="30" customHeight="1" x14ac:dyDescent="0.25">
      <c r="A15" s="4">
        <v>13</v>
      </c>
      <c r="B15" s="19">
        <v>908113004</v>
      </c>
      <c r="C15" s="11" t="s">
        <v>115</v>
      </c>
      <c r="D15" s="4">
        <v>28394530</v>
      </c>
      <c r="E15" s="4">
        <v>9</v>
      </c>
      <c r="F15" s="14">
        <v>8</v>
      </c>
      <c r="G15" s="6">
        <f t="shared" si="1"/>
        <v>1</v>
      </c>
      <c r="H15" s="16"/>
      <c r="I15" s="11"/>
      <c r="J15" s="18">
        <v>46088</v>
      </c>
      <c r="K15" s="4" t="s">
        <v>103</v>
      </c>
      <c r="L15" s="15"/>
    </row>
    <row r="16" spans="1:12" ht="30" customHeight="1" x14ac:dyDescent="0.25">
      <c r="A16" s="4">
        <v>14</v>
      </c>
      <c r="B16" s="12">
        <v>908321012</v>
      </c>
      <c r="C16" s="11" t="s">
        <v>121</v>
      </c>
      <c r="D16" s="4">
        <v>28394530</v>
      </c>
      <c r="E16" s="4">
        <v>1</v>
      </c>
      <c r="F16" s="14">
        <v>1</v>
      </c>
      <c r="G16" s="6">
        <f t="shared" si="1"/>
        <v>0</v>
      </c>
      <c r="H16" s="16">
        <v>46107</v>
      </c>
      <c r="I16" s="11" t="s">
        <v>13</v>
      </c>
      <c r="J16" s="18">
        <v>46088</v>
      </c>
      <c r="K16" s="4" t="s">
        <v>103</v>
      </c>
      <c r="L16" s="15"/>
    </row>
    <row r="17" spans="1:12" ht="30" customHeight="1" x14ac:dyDescent="0.25">
      <c r="A17" s="4">
        <v>15</v>
      </c>
      <c r="B17" s="12">
        <v>908121144</v>
      </c>
      <c r="C17" s="34" t="s">
        <v>70</v>
      </c>
      <c r="D17" s="4">
        <v>28394530</v>
      </c>
      <c r="E17" s="4">
        <v>2</v>
      </c>
      <c r="F17" s="14">
        <v>2</v>
      </c>
      <c r="G17" s="6">
        <f t="shared" si="1"/>
        <v>0</v>
      </c>
      <c r="H17" s="16">
        <v>46097</v>
      </c>
      <c r="I17" s="11" t="s">
        <v>13</v>
      </c>
      <c r="J17" s="18">
        <v>46098</v>
      </c>
      <c r="K17" s="4" t="s">
        <v>103</v>
      </c>
      <c r="L17" s="35"/>
    </row>
    <row r="18" spans="1:12" ht="30" customHeight="1" x14ac:dyDescent="0.25">
      <c r="A18" s="4">
        <v>16</v>
      </c>
      <c r="B18" s="12">
        <v>905757809</v>
      </c>
      <c r="C18" s="11" t="s">
        <v>218</v>
      </c>
      <c r="D18" s="4"/>
      <c r="E18" s="4">
        <v>111</v>
      </c>
      <c r="F18" s="14">
        <f>18+18+18+20+20+20</f>
        <v>114</v>
      </c>
      <c r="G18" s="6">
        <f t="shared" si="1"/>
        <v>-3</v>
      </c>
      <c r="H18" s="16">
        <v>46126</v>
      </c>
      <c r="I18" s="11" t="s">
        <v>13</v>
      </c>
      <c r="J18" s="18">
        <v>46098</v>
      </c>
      <c r="K18" s="4" t="s">
        <v>103</v>
      </c>
      <c r="L18" s="33" t="s">
        <v>221</v>
      </c>
    </row>
    <row r="19" spans="1:12" ht="30" customHeight="1" x14ac:dyDescent="0.25">
      <c r="A19" s="4">
        <v>17</v>
      </c>
      <c r="B19" s="12">
        <v>905705538</v>
      </c>
      <c r="C19" s="12" t="s">
        <v>220</v>
      </c>
      <c r="D19" s="4">
        <v>28394530</v>
      </c>
      <c r="E19" s="4">
        <v>3</v>
      </c>
      <c r="F19" s="14">
        <v>3</v>
      </c>
      <c r="G19" s="6">
        <f t="shared" si="1"/>
        <v>0</v>
      </c>
      <c r="H19" s="16">
        <v>46097</v>
      </c>
      <c r="I19" s="11" t="s">
        <v>13</v>
      </c>
      <c r="J19" s="18">
        <v>46138</v>
      </c>
      <c r="K19" s="4" t="s">
        <v>103</v>
      </c>
      <c r="L19" s="35"/>
    </row>
    <row r="20" spans="1:12" ht="30" customHeight="1" x14ac:dyDescent="0.25">
      <c r="A20" s="4">
        <v>18</v>
      </c>
      <c r="B20" s="12">
        <v>908121152</v>
      </c>
      <c r="C20" s="11" t="s">
        <v>222</v>
      </c>
      <c r="D20" s="4">
        <v>28394530</v>
      </c>
      <c r="E20" s="4">
        <v>1</v>
      </c>
      <c r="F20" s="14">
        <v>1</v>
      </c>
      <c r="G20" s="6">
        <f t="shared" si="1"/>
        <v>0</v>
      </c>
      <c r="H20" s="16">
        <v>46097</v>
      </c>
      <c r="I20" s="11" t="s">
        <v>13</v>
      </c>
      <c r="J20" s="18">
        <v>46138</v>
      </c>
      <c r="K20" s="4" t="s">
        <v>103</v>
      </c>
      <c r="L20" s="35"/>
    </row>
    <row r="21" spans="1:12" ht="30" customHeight="1" x14ac:dyDescent="0.25">
      <c r="A21" s="4">
        <v>19</v>
      </c>
      <c r="B21" s="12">
        <v>905727933</v>
      </c>
      <c r="C21" s="11" t="s">
        <v>287</v>
      </c>
      <c r="D21" s="4"/>
      <c r="E21" s="4"/>
      <c r="F21" s="14">
        <v>3</v>
      </c>
      <c r="G21" s="6">
        <f t="shared" si="1"/>
        <v>-3</v>
      </c>
      <c r="H21" s="16"/>
      <c r="I21" s="11"/>
      <c r="J21" s="18">
        <v>46138</v>
      </c>
      <c r="K21" s="4" t="s">
        <v>103</v>
      </c>
      <c r="L21" s="35"/>
    </row>
    <row r="23" spans="1:12" ht="30" customHeight="1" x14ac:dyDescent="0.25">
      <c r="A23" s="1" t="s">
        <v>0</v>
      </c>
      <c r="B23" s="2" t="s">
        <v>1</v>
      </c>
      <c r="C23" s="1" t="s">
        <v>107</v>
      </c>
      <c r="D23" s="29" t="s">
        <v>4</v>
      </c>
      <c r="E23" s="36" t="s">
        <v>7</v>
      </c>
      <c r="F23" s="51" t="s">
        <v>10</v>
      </c>
      <c r="G23" s="56"/>
    </row>
    <row r="24" spans="1:12" ht="30" customHeight="1" x14ac:dyDescent="0.25">
      <c r="A24" s="4">
        <v>1</v>
      </c>
      <c r="B24" s="12">
        <v>905757809</v>
      </c>
      <c r="C24" s="11" t="s">
        <v>218</v>
      </c>
      <c r="D24" s="4">
        <f>0.54+0.58+0.5+0.45+0.46+0.4</f>
        <v>2.93</v>
      </c>
      <c r="E24" s="16">
        <v>46099</v>
      </c>
      <c r="F24" s="48" t="s">
        <v>103</v>
      </c>
      <c r="G24" s="48"/>
    </row>
    <row r="25" spans="1:12" ht="30" customHeight="1" x14ac:dyDescent="0.25">
      <c r="A25" s="4">
        <v>2</v>
      </c>
      <c r="B25" s="12">
        <v>905757809</v>
      </c>
      <c r="C25" s="11" t="s">
        <v>218</v>
      </c>
      <c r="D25" s="4">
        <f>1.98+2.5+2.5+1.5+1+1.6+0.4+0.4+0.4</f>
        <v>12.280000000000001</v>
      </c>
      <c r="E25" s="16">
        <v>46139</v>
      </c>
      <c r="F25" s="48" t="s">
        <v>103</v>
      </c>
      <c r="G25" s="48"/>
    </row>
  </sheetData>
  <mergeCells count="4">
    <mergeCell ref="A1:L1"/>
    <mergeCell ref="F23:G23"/>
    <mergeCell ref="F24:G24"/>
    <mergeCell ref="F25:G25"/>
  </mergeCells>
  <pageMargins left="0.7" right="0.7" top="0.75" bottom="0.75" header="0.3" footer="0.3"/>
  <pageSetup scale="27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0116-B489-4D00-8F21-C644B49D7F7E}">
  <dimension ref="A1:L10"/>
  <sheetViews>
    <sheetView zoomScale="78" zoomScaleNormal="78" workbookViewId="0">
      <selection activeCell="B6" sqref="B6:C6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57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3">
        <v>908402208</v>
      </c>
      <c r="C3" s="12" t="s">
        <v>58</v>
      </c>
      <c r="D3" s="5">
        <v>28390087</v>
      </c>
      <c r="E3" s="4">
        <v>1</v>
      </c>
      <c r="F3" s="14"/>
      <c r="G3" s="6">
        <f>E3-F3</f>
        <v>1</v>
      </c>
      <c r="H3" s="7">
        <v>46035</v>
      </c>
      <c r="I3" s="8" t="s">
        <v>13</v>
      </c>
      <c r="J3" s="9"/>
      <c r="K3" s="4"/>
      <c r="L3" s="11"/>
    </row>
    <row r="4" spans="1:12" ht="28.5" x14ac:dyDescent="0.25">
      <c r="A4" s="4">
        <v>2</v>
      </c>
      <c r="B4" s="10">
        <v>908202030</v>
      </c>
      <c r="C4" s="11" t="s">
        <v>15</v>
      </c>
      <c r="D4" s="5">
        <v>28390087</v>
      </c>
      <c r="E4" s="4">
        <v>1</v>
      </c>
      <c r="F4" s="14"/>
      <c r="G4" s="6">
        <f t="shared" ref="G4:G10" si="0">E4-F4</f>
        <v>1</v>
      </c>
      <c r="H4" s="7">
        <v>46035</v>
      </c>
      <c r="I4" s="8" t="s">
        <v>13</v>
      </c>
      <c r="J4" s="9"/>
      <c r="K4" s="4"/>
      <c r="L4" s="11"/>
    </row>
    <row r="5" spans="1:12" ht="28.5" x14ac:dyDescent="0.25">
      <c r="A5" s="4">
        <v>3</v>
      </c>
      <c r="B5" s="10" t="s">
        <v>16</v>
      </c>
      <c r="C5" s="11" t="s">
        <v>19</v>
      </c>
      <c r="D5" s="5">
        <v>28390087</v>
      </c>
      <c r="E5" s="4">
        <v>1</v>
      </c>
      <c r="F5" s="14"/>
      <c r="G5" s="6">
        <f t="shared" si="0"/>
        <v>1</v>
      </c>
      <c r="H5" s="7">
        <v>46035</v>
      </c>
      <c r="I5" s="8" t="s">
        <v>13</v>
      </c>
      <c r="J5" s="9"/>
      <c r="K5" s="4"/>
      <c r="L5" s="11"/>
    </row>
    <row r="6" spans="1:12" ht="28.5" x14ac:dyDescent="0.25">
      <c r="A6" s="4">
        <v>4</v>
      </c>
      <c r="B6" s="10">
        <v>908421025</v>
      </c>
      <c r="C6" s="11" t="s">
        <v>59</v>
      </c>
      <c r="D6" s="5">
        <v>28390087</v>
      </c>
      <c r="E6" s="4">
        <v>1</v>
      </c>
      <c r="F6" s="14"/>
      <c r="G6" s="6">
        <f t="shared" si="0"/>
        <v>1</v>
      </c>
      <c r="H6" s="7">
        <v>46035</v>
      </c>
      <c r="I6" s="8" t="s">
        <v>13</v>
      </c>
      <c r="J6" s="9"/>
      <c r="K6" s="4"/>
      <c r="L6" s="11"/>
    </row>
    <row r="7" spans="1:12" ht="28.5" x14ac:dyDescent="0.25">
      <c r="A7" s="4">
        <v>5</v>
      </c>
      <c r="B7" s="10">
        <v>908111101</v>
      </c>
      <c r="C7" s="11" t="s">
        <v>47</v>
      </c>
      <c r="D7" s="5">
        <v>28390087</v>
      </c>
      <c r="E7" s="4">
        <v>2</v>
      </c>
      <c r="F7" s="14"/>
      <c r="G7" s="6">
        <f t="shared" si="0"/>
        <v>2</v>
      </c>
      <c r="H7" s="7">
        <v>46035</v>
      </c>
      <c r="I7" s="8" t="s">
        <v>13</v>
      </c>
      <c r="J7" s="9"/>
      <c r="K7" s="4"/>
      <c r="L7" s="11"/>
    </row>
    <row r="8" spans="1:12" ht="28.5" x14ac:dyDescent="0.25">
      <c r="A8" s="4">
        <v>6</v>
      </c>
      <c r="B8" s="10">
        <v>908020201</v>
      </c>
      <c r="C8" s="11" t="s">
        <v>12</v>
      </c>
      <c r="D8" s="5">
        <v>28390087</v>
      </c>
      <c r="E8" s="4">
        <v>1</v>
      </c>
      <c r="F8" s="14"/>
      <c r="G8" s="6">
        <f t="shared" si="0"/>
        <v>1</v>
      </c>
      <c r="H8" s="7">
        <v>46036</v>
      </c>
      <c r="I8" s="8" t="s">
        <v>13</v>
      </c>
      <c r="J8" s="9"/>
      <c r="K8" s="4"/>
      <c r="L8" s="11"/>
    </row>
    <row r="9" spans="1:12" ht="28.5" x14ac:dyDescent="0.25">
      <c r="A9" s="4">
        <v>7</v>
      </c>
      <c r="B9" s="12">
        <v>908202189</v>
      </c>
      <c r="C9" s="11" t="s">
        <v>18</v>
      </c>
      <c r="D9" s="5">
        <v>28390087</v>
      </c>
      <c r="E9" s="4">
        <v>1</v>
      </c>
      <c r="F9" s="14"/>
      <c r="G9" s="6">
        <f t="shared" si="0"/>
        <v>1</v>
      </c>
      <c r="H9" s="7">
        <v>46036</v>
      </c>
      <c r="I9" s="8" t="s">
        <v>13</v>
      </c>
      <c r="J9" s="9"/>
      <c r="K9" s="4"/>
      <c r="L9" s="11"/>
    </row>
    <row r="10" spans="1:12" ht="28.5" x14ac:dyDescent="0.25">
      <c r="A10" s="4">
        <v>8</v>
      </c>
      <c r="B10" s="12">
        <v>908371014</v>
      </c>
      <c r="C10" s="11" t="s">
        <v>76</v>
      </c>
      <c r="D10" s="5">
        <v>28390087</v>
      </c>
      <c r="E10" s="4">
        <v>1</v>
      </c>
      <c r="F10" s="14"/>
      <c r="G10" s="6">
        <f t="shared" si="0"/>
        <v>1</v>
      </c>
      <c r="H10" s="7">
        <v>46036</v>
      </c>
      <c r="I10" s="8" t="s">
        <v>13</v>
      </c>
      <c r="J10" s="9"/>
      <c r="K10" s="4"/>
      <c r="L10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8E80-15B5-40CB-818F-516554112688}">
  <dimension ref="A1:L20"/>
  <sheetViews>
    <sheetView topLeftCell="A4" zoomScale="78" zoomScaleNormal="78" workbookViewId="0">
      <selection activeCell="B15" sqref="B15:C19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908312027</v>
      </c>
      <c r="C3" s="11" t="s">
        <v>33</v>
      </c>
      <c r="D3" s="5">
        <v>28387154</v>
      </c>
      <c r="E3" s="4">
        <v>1</v>
      </c>
      <c r="F3" s="14">
        <v>1</v>
      </c>
      <c r="G3" s="6">
        <f>E3-F3</f>
        <v>0</v>
      </c>
      <c r="H3" s="7">
        <v>46035</v>
      </c>
      <c r="I3" s="8" t="s">
        <v>13</v>
      </c>
      <c r="J3" s="9">
        <v>46037</v>
      </c>
      <c r="K3" s="4" t="s">
        <v>49</v>
      </c>
      <c r="L3" s="11"/>
    </row>
    <row r="4" spans="1:12" ht="42" x14ac:dyDescent="0.25">
      <c r="A4" s="4">
        <v>2</v>
      </c>
      <c r="B4" s="10">
        <v>908202030</v>
      </c>
      <c r="C4" s="11" t="s">
        <v>15</v>
      </c>
      <c r="D4" s="26" t="s">
        <v>134</v>
      </c>
      <c r="E4" s="4">
        <f>2+1</f>
        <v>3</v>
      </c>
      <c r="F4" s="14">
        <v>2</v>
      </c>
      <c r="G4" s="6">
        <f t="shared" ref="G4:G19" si="0">E4-F4</f>
        <v>1</v>
      </c>
      <c r="H4" s="7" t="s">
        <v>135</v>
      </c>
      <c r="I4" s="8" t="s">
        <v>13</v>
      </c>
      <c r="J4" s="9">
        <v>46037</v>
      </c>
      <c r="K4" s="4" t="s">
        <v>49</v>
      </c>
      <c r="L4" s="11"/>
    </row>
    <row r="5" spans="1:12" ht="52.5" x14ac:dyDescent="0.25">
      <c r="A5" s="4">
        <v>3</v>
      </c>
      <c r="B5" s="10" t="s">
        <v>16</v>
      </c>
      <c r="C5" s="11" t="s">
        <v>19</v>
      </c>
      <c r="D5" s="26" t="s">
        <v>134</v>
      </c>
      <c r="E5" s="4">
        <f>1+2</f>
        <v>3</v>
      </c>
      <c r="F5" s="14">
        <f>2+1</f>
        <v>3</v>
      </c>
      <c r="G5" s="6">
        <f t="shared" si="0"/>
        <v>0</v>
      </c>
      <c r="H5" s="7" t="s">
        <v>135</v>
      </c>
      <c r="I5" s="8" t="s">
        <v>13</v>
      </c>
      <c r="J5" s="24" t="s">
        <v>138</v>
      </c>
      <c r="K5" s="4" t="s">
        <v>49</v>
      </c>
      <c r="L5" s="11"/>
    </row>
    <row r="6" spans="1:12" ht="36" x14ac:dyDescent="0.25">
      <c r="A6" s="4">
        <v>4</v>
      </c>
      <c r="B6" s="10">
        <v>908202098</v>
      </c>
      <c r="C6" s="11" t="s">
        <v>20</v>
      </c>
      <c r="D6" s="26" t="s">
        <v>134</v>
      </c>
      <c r="E6" s="4">
        <v>2</v>
      </c>
      <c r="F6" s="14">
        <v>2</v>
      </c>
      <c r="G6" s="6">
        <f t="shared" si="0"/>
        <v>0</v>
      </c>
      <c r="H6" s="7">
        <v>46035</v>
      </c>
      <c r="I6" s="8" t="s">
        <v>13</v>
      </c>
      <c r="J6" s="9">
        <v>46037</v>
      </c>
      <c r="K6" s="4" t="s">
        <v>49</v>
      </c>
      <c r="L6" s="11"/>
    </row>
    <row r="7" spans="1:12" ht="52.5" x14ac:dyDescent="0.25">
      <c r="A7" s="4">
        <v>5</v>
      </c>
      <c r="B7" s="10">
        <v>908111101</v>
      </c>
      <c r="C7" s="11" t="s">
        <v>47</v>
      </c>
      <c r="D7" s="26" t="s">
        <v>134</v>
      </c>
      <c r="E7" s="4">
        <f>6+4</f>
        <v>10</v>
      </c>
      <c r="F7" s="14">
        <v>6</v>
      </c>
      <c r="G7" s="6">
        <f>E7-F7</f>
        <v>4</v>
      </c>
      <c r="H7" s="7" t="s">
        <v>135</v>
      </c>
      <c r="I7" s="8" t="s">
        <v>13</v>
      </c>
      <c r="J7" s="24" t="s">
        <v>137</v>
      </c>
      <c r="K7" s="4" t="s">
        <v>49</v>
      </c>
      <c r="L7" s="11"/>
    </row>
    <row r="8" spans="1:12" ht="42" x14ac:dyDescent="0.25">
      <c r="A8" s="4">
        <v>6</v>
      </c>
      <c r="B8" s="10">
        <v>908020201</v>
      </c>
      <c r="C8" s="11" t="s">
        <v>12</v>
      </c>
      <c r="D8" s="26" t="s">
        <v>134</v>
      </c>
      <c r="E8" s="4">
        <f>1+3</f>
        <v>4</v>
      </c>
      <c r="F8" s="14"/>
      <c r="G8" s="6">
        <f t="shared" si="0"/>
        <v>4</v>
      </c>
      <c r="H8" s="7" t="s">
        <v>136</v>
      </c>
      <c r="I8" s="8" t="s">
        <v>13</v>
      </c>
      <c r="J8" s="9"/>
      <c r="K8" s="4"/>
      <c r="L8" s="11"/>
    </row>
    <row r="9" spans="1:12" ht="28.5" x14ac:dyDescent="0.25">
      <c r="A9" s="4">
        <v>7</v>
      </c>
      <c r="B9" s="10" t="s">
        <v>50</v>
      </c>
      <c r="C9" s="11" t="s">
        <v>51</v>
      </c>
      <c r="D9" s="5">
        <v>28387154</v>
      </c>
      <c r="E9" s="4">
        <v>5</v>
      </c>
      <c r="F9" s="14">
        <v>65</v>
      </c>
      <c r="G9" s="6">
        <f t="shared" si="0"/>
        <v>-60</v>
      </c>
      <c r="H9" s="7">
        <v>46035</v>
      </c>
      <c r="I9" s="8" t="s">
        <v>13</v>
      </c>
      <c r="J9" s="9">
        <v>46037</v>
      </c>
      <c r="K9" s="4" t="s">
        <v>49</v>
      </c>
      <c r="L9" s="11"/>
    </row>
    <row r="10" spans="1:12" ht="28.5" x14ac:dyDescent="0.25">
      <c r="A10" s="4">
        <v>8</v>
      </c>
      <c r="B10" s="10" t="s">
        <v>52</v>
      </c>
      <c r="C10" s="11" t="s">
        <v>53</v>
      </c>
      <c r="D10" s="5">
        <v>28387154</v>
      </c>
      <c r="E10" s="4">
        <v>28</v>
      </c>
      <c r="F10" s="14">
        <v>28</v>
      </c>
      <c r="G10" s="6">
        <f t="shared" si="0"/>
        <v>0</v>
      </c>
      <c r="H10" s="7">
        <v>46035</v>
      </c>
      <c r="I10" s="8" t="s">
        <v>13</v>
      </c>
      <c r="J10" s="9">
        <v>46037</v>
      </c>
      <c r="K10" s="4" t="s">
        <v>49</v>
      </c>
      <c r="L10" s="11"/>
    </row>
    <row r="11" spans="1:12" ht="28.5" x14ac:dyDescent="0.25">
      <c r="A11" s="4">
        <v>9</v>
      </c>
      <c r="B11" s="10">
        <v>908122011</v>
      </c>
      <c r="C11" s="11" t="s">
        <v>55</v>
      </c>
      <c r="D11" s="5">
        <v>28387154</v>
      </c>
      <c r="E11" s="4">
        <v>3</v>
      </c>
      <c r="F11" s="14">
        <v>3</v>
      </c>
      <c r="G11" s="6">
        <f t="shared" si="0"/>
        <v>0</v>
      </c>
      <c r="H11" s="7">
        <v>46035</v>
      </c>
      <c r="I11" s="8" t="s">
        <v>13</v>
      </c>
      <c r="J11" s="9">
        <v>46050</v>
      </c>
      <c r="K11" s="4" t="s">
        <v>116</v>
      </c>
      <c r="L11" s="11"/>
    </row>
    <row r="12" spans="1:12" ht="28.5" x14ac:dyDescent="0.25">
      <c r="A12" s="4">
        <v>10</v>
      </c>
      <c r="B12" s="10">
        <v>908121008</v>
      </c>
      <c r="C12" s="11" t="s">
        <v>14</v>
      </c>
      <c r="D12" s="5"/>
      <c r="E12" s="4"/>
      <c r="F12" s="14">
        <v>2</v>
      </c>
      <c r="G12" s="6">
        <f t="shared" si="0"/>
        <v>-2</v>
      </c>
      <c r="H12" s="7"/>
      <c r="I12" s="8"/>
      <c r="J12" s="9">
        <v>46037</v>
      </c>
      <c r="K12" s="4" t="s">
        <v>49</v>
      </c>
      <c r="L12" s="11"/>
    </row>
    <row r="13" spans="1:12" ht="52.5" x14ac:dyDescent="0.25">
      <c r="A13" s="4">
        <v>11</v>
      </c>
      <c r="B13" s="10">
        <v>908121010</v>
      </c>
      <c r="C13" s="11" t="s">
        <v>22</v>
      </c>
      <c r="D13" s="5"/>
      <c r="E13" s="4"/>
      <c r="F13" s="14">
        <f>1+1</f>
        <v>2</v>
      </c>
      <c r="G13" s="6">
        <f t="shared" si="0"/>
        <v>-2</v>
      </c>
      <c r="H13" s="7"/>
      <c r="I13" s="8"/>
      <c r="J13" s="24" t="s">
        <v>130</v>
      </c>
      <c r="K13" s="4" t="s">
        <v>49</v>
      </c>
      <c r="L13" s="11"/>
    </row>
    <row r="14" spans="1:12" ht="28.5" x14ac:dyDescent="0.25">
      <c r="A14" s="4">
        <v>12</v>
      </c>
      <c r="B14" s="10">
        <v>908371001</v>
      </c>
      <c r="C14" s="11" t="s">
        <v>127</v>
      </c>
      <c r="D14" s="5">
        <v>28484825</v>
      </c>
      <c r="E14" s="4">
        <v>2</v>
      </c>
      <c r="F14" s="14">
        <v>2</v>
      </c>
      <c r="G14" s="6">
        <f t="shared" si="0"/>
        <v>0</v>
      </c>
      <c r="H14" s="7">
        <v>46051</v>
      </c>
      <c r="I14" s="8" t="s">
        <v>13</v>
      </c>
      <c r="J14" s="24">
        <v>46051</v>
      </c>
      <c r="K14" s="4" t="s">
        <v>116</v>
      </c>
      <c r="L14" s="11"/>
    </row>
    <row r="15" spans="1:12" ht="28.5" x14ac:dyDescent="0.25">
      <c r="A15" s="4">
        <v>13</v>
      </c>
      <c r="B15" s="12">
        <v>908371012</v>
      </c>
      <c r="C15" s="11" t="s">
        <v>124</v>
      </c>
      <c r="D15" s="5">
        <v>28484825</v>
      </c>
      <c r="E15" s="4">
        <v>3</v>
      </c>
      <c r="F15" s="14">
        <v>3</v>
      </c>
      <c r="G15" s="6">
        <f t="shared" si="0"/>
        <v>0</v>
      </c>
      <c r="H15" s="7">
        <v>46051</v>
      </c>
      <c r="I15" s="8" t="s">
        <v>13</v>
      </c>
      <c r="J15" s="24">
        <v>46051</v>
      </c>
      <c r="K15" s="4" t="s">
        <v>116</v>
      </c>
      <c r="L15" s="11"/>
    </row>
    <row r="16" spans="1:12" ht="28.5" x14ac:dyDescent="0.25">
      <c r="A16" s="4">
        <v>14</v>
      </c>
      <c r="B16" s="13">
        <v>908402208</v>
      </c>
      <c r="C16" s="12" t="s">
        <v>58</v>
      </c>
      <c r="D16" s="5">
        <v>28484825</v>
      </c>
      <c r="E16" s="4">
        <v>5</v>
      </c>
      <c r="F16" s="14">
        <v>5</v>
      </c>
      <c r="G16" s="6">
        <f t="shared" si="0"/>
        <v>0</v>
      </c>
      <c r="H16" s="7">
        <v>46051</v>
      </c>
      <c r="I16" s="8" t="s">
        <v>13</v>
      </c>
      <c r="J16" s="24">
        <v>46051</v>
      </c>
      <c r="K16" s="4" t="s">
        <v>116</v>
      </c>
      <c r="L16" s="11"/>
    </row>
    <row r="17" spans="1:12" ht="28.5" x14ac:dyDescent="0.25">
      <c r="A17" s="4">
        <v>15</v>
      </c>
      <c r="B17" s="13">
        <v>908421025</v>
      </c>
      <c r="C17" s="12" t="s">
        <v>59</v>
      </c>
      <c r="D17" s="5">
        <v>28484825</v>
      </c>
      <c r="E17" s="4">
        <v>1</v>
      </c>
      <c r="F17" s="14">
        <v>1</v>
      </c>
      <c r="G17" s="6">
        <f t="shared" si="0"/>
        <v>0</v>
      </c>
      <c r="H17" s="7">
        <v>46051</v>
      </c>
      <c r="I17" s="8" t="s">
        <v>13</v>
      </c>
      <c r="J17" s="24">
        <v>46051</v>
      </c>
      <c r="K17" s="4" t="s">
        <v>116</v>
      </c>
      <c r="L17" s="11"/>
    </row>
    <row r="18" spans="1:12" ht="28.5" x14ac:dyDescent="0.25">
      <c r="A18" s="4">
        <v>16</v>
      </c>
      <c r="B18" s="12">
        <v>908421031</v>
      </c>
      <c r="C18" s="11" t="s">
        <v>111</v>
      </c>
      <c r="D18" s="5">
        <v>28484825</v>
      </c>
      <c r="E18" s="4">
        <v>2</v>
      </c>
      <c r="F18" s="14">
        <v>2</v>
      </c>
      <c r="G18" s="6">
        <f t="shared" si="0"/>
        <v>0</v>
      </c>
      <c r="H18" s="7">
        <v>46051</v>
      </c>
      <c r="I18" s="8" t="s">
        <v>13</v>
      </c>
      <c r="J18" s="24">
        <v>46051</v>
      </c>
      <c r="K18" s="4" t="s">
        <v>116</v>
      </c>
      <c r="L18" s="11"/>
    </row>
    <row r="19" spans="1:12" ht="28.5" x14ac:dyDescent="0.25">
      <c r="A19" s="4">
        <v>17</v>
      </c>
      <c r="B19" s="19">
        <v>908202189</v>
      </c>
      <c r="C19" s="11" t="s">
        <v>18</v>
      </c>
      <c r="D19" s="5">
        <v>28484825</v>
      </c>
      <c r="E19" s="4">
        <v>2</v>
      </c>
      <c r="F19" s="14">
        <v>3</v>
      </c>
      <c r="G19" s="6">
        <f t="shared" si="0"/>
        <v>-1</v>
      </c>
      <c r="H19" s="7">
        <v>46051</v>
      </c>
      <c r="I19" s="8" t="s">
        <v>13</v>
      </c>
      <c r="J19" s="24">
        <v>46051</v>
      </c>
      <c r="K19" s="4" t="s">
        <v>116</v>
      </c>
      <c r="L19" s="11"/>
    </row>
    <row r="20" spans="1:12" ht="28.5" x14ac:dyDescent="0.25">
      <c r="A20" s="4"/>
      <c r="B20" s="19"/>
      <c r="C20" s="11"/>
      <c r="D20" s="5"/>
      <c r="E20" s="4"/>
      <c r="F20" s="14"/>
      <c r="G20" s="6"/>
      <c r="H20" s="7"/>
      <c r="I20" s="8"/>
      <c r="J20" s="24"/>
      <c r="K20" s="4"/>
      <c r="L20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0DD3-D54C-4AA3-94F6-ED8F86386B4A}">
  <dimension ref="A1:L15"/>
  <sheetViews>
    <sheetView zoomScale="78" zoomScaleNormal="78" workbookViewId="0">
      <selection activeCell="B6" sqref="B6:C6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54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908312027</v>
      </c>
      <c r="C3" s="11" t="s">
        <v>33</v>
      </c>
      <c r="D3" s="5">
        <v>28387272</v>
      </c>
      <c r="E3" s="4">
        <v>1</v>
      </c>
      <c r="F3" s="14">
        <v>1</v>
      </c>
      <c r="G3" s="6">
        <f>E3-F3</f>
        <v>0</v>
      </c>
      <c r="H3" s="7">
        <v>46035</v>
      </c>
      <c r="I3" s="8" t="s">
        <v>13</v>
      </c>
      <c r="J3" s="9">
        <v>46039</v>
      </c>
      <c r="K3" s="4" t="s">
        <v>49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>
        <v>28387272</v>
      </c>
      <c r="E4" s="4">
        <v>2</v>
      </c>
      <c r="F4" s="14">
        <v>2</v>
      </c>
      <c r="G4" s="6">
        <f t="shared" ref="G4:G13" si="0">E4-F4</f>
        <v>0</v>
      </c>
      <c r="H4" s="7">
        <v>46035</v>
      </c>
      <c r="I4" s="8" t="s">
        <v>13</v>
      </c>
      <c r="J4" s="9">
        <v>46039</v>
      </c>
      <c r="K4" s="4" t="s">
        <v>49</v>
      </c>
      <c r="L4" s="11"/>
    </row>
    <row r="5" spans="1:12" ht="52.5" x14ac:dyDescent="0.25">
      <c r="A5" s="4">
        <v>3</v>
      </c>
      <c r="B5" s="10">
        <v>908121010</v>
      </c>
      <c r="C5" s="11" t="s">
        <v>22</v>
      </c>
      <c r="D5" s="5">
        <v>28387272</v>
      </c>
      <c r="E5" s="4">
        <v>2</v>
      </c>
      <c r="F5" s="14">
        <f>1+1</f>
        <v>2</v>
      </c>
      <c r="G5" s="6">
        <f t="shared" si="0"/>
        <v>0</v>
      </c>
      <c r="H5" s="7">
        <v>46035</v>
      </c>
      <c r="I5" s="8" t="s">
        <v>13</v>
      </c>
      <c r="J5" s="24" t="s">
        <v>117</v>
      </c>
      <c r="K5" s="4" t="s">
        <v>49</v>
      </c>
      <c r="L5" s="11"/>
    </row>
    <row r="6" spans="1:12" ht="28.5" x14ac:dyDescent="0.25">
      <c r="A6" s="4">
        <v>4</v>
      </c>
      <c r="B6" s="10">
        <v>908202030</v>
      </c>
      <c r="C6" s="11" t="s">
        <v>15</v>
      </c>
      <c r="D6" s="5">
        <v>28387272</v>
      </c>
      <c r="E6" s="4">
        <v>2</v>
      </c>
      <c r="F6" s="14">
        <v>2</v>
      </c>
      <c r="G6" s="6">
        <f t="shared" si="0"/>
        <v>0</v>
      </c>
      <c r="H6" s="7">
        <v>46035</v>
      </c>
      <c r="I6" s="8" t="s">
        <v>13</v>
      </c>
      <c r="J6" s="9">
        <v>46039</v>
      </c>
      <c r="K6" s="4" t="s">
        <v>49</v>
      </c>
      <c r="L6" s="11"/>
    </row>
    <row r="7" spans="1:12" ht="42" x14ac:dyDescent="0.25">
      <c r="A7" s="4">
        <v>5</v>
      </c>
      <c r="B7" s="10" t="s">
        <v>16</v>
      </c>
      <c r="C7" s="11" t="s">
        <v>19</v>
      </c>
      <c r="D7" s="5">
        <v>28387272</v>
      </c>
      <c r="E7" s="4">
        <f>1+1</f>
        <v>2</v>
      </c>
      <c r="F7" s="14">
        <v>2</v>
      </c>
      <c r="G7" s="6">
        <f t="shared" si="0"/>
        <v>0</v>
      </c>
      <c r="H7" s="7" t="s">
        <v>63</v>
      </c>
      <c r="I7" s="8" t="s">
        <v>13</v>
      </c>
      <c r="J7" s="9">
        <v>46039</v>
      </c>
      <c r="K7" s="4" t="s">
        <v>49</v>
      </c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28387272</v>
      </c>
      <c r="E8" s="4">
        <v>2</v>
      </c>
      <c r="F8" s="14">
        <v>2</v>
      </c>
      <c r="G8" s="6">
        <f t="shared" si="0"/>
        <v>0</v>
      </c>
      <c r="H8" s="7">
        <v>46035</v>
      </c>
      <c r="I8" s="8" t="s">
        <v>13</v>
      </c>
      <c r="J8" s="9">
        <v>46039</v>
      </c>
      <c r="K8" s="4" t="s">
        <v>49</v>
      </c>
      <c r="L8" s="11"/>
    </row>
    <row r="9" spans="1:12" ht="28.5" x14ac:dyDescent="0.25">
      <c r="A9" s="4">
        <v>7</v>
      </c>
      <c r="B9" s="10">
        <v>908111101</v>
      </c>
      <c r="C9" s="11" t="s">
        <v>47</v>
      </c>
      <c r="D9" s="5">
        <v>28387272</v>
      </c>
      <c r="E9" s="4">
        <v>6</v>
      </c>
      <c r="F9" s="14">
        <v>6</v>
      </c>
      <c r="G9" s="6">
        <f>E9-F9</f>
        <v>0</v>
      </c>
      <c r="H9" s="7">
        <v>46035</v>
      </c>
      <c r="I9" s="8" t="s">
        <v>13</v>
      </c>
      <c r="J9" s="9">
        <v>46039</v>
      </c>
      <c r="K9" s="4" t="s">
        <v>49</v>
      </c>
      <c r="L9" s="11"/>
    </row>
    <row r="10" spans="1:12" ht="28.5" x14ac:dyDescent="0.25">
      <c r="A10" s="4">
        <v>8</v>
      </c>
      <c r="B10" s="10">
        <v>908020201</v>
      </c>
      <c r="C10" s="11" t="s">
        <v>12</v>
      </c>
      <c r="D10" s="5">
        <v>28387272</v>
      </c>
      <c r="E10" s="4">
        <v>1</v>
      </c>
      <c r="F10" s="14">
        <v>1</v>
      </c>
      <c r="G10" s="6">
        <f t="shared" si="0"/>
        <v>0</v>
      </c>
      <c r="H10" s="7">
        <v>46036</v>
      </c>
      <c r="I10" s="8" t="s">
        <v>13</v>
      </c>
      <c r="J10" s="9">
        <v>46039</v>
      </c>
      <c r="K10" s="4" t="s">
        <v>49</v>
      </c>
      <c r="L10" s="11"/>
    </row>
    <row r="11" spans="1:12" ht="28.5" x14ac:dyDescent="0.25">
      <c r="A11" s="4">
        <v>9</v>
      </c>
      <c r="B11" s="10" t="s">
        <v>50</v>
      </c>
      <c r="C11" s="11" t="s">
        <v>51</v>
      </c>
      <c r="D11" s="5">
        <v>28387272</v>
      </c>
      <c r="E11" s="4">
        <v>16</v>
      </c>
      <c r="F11" s="14">
        <v>16</v>
      </c>
      <c r="G11" s="6">
        <f t="shared" si="0"/>
        <v>0</v>
      </c>
      <c r="H11" s="7">
        <v>46035</v>
      </c>
      <c r="I11" s="8" t="s">
        <v>13</v>
      </c>
      <c r="J11" s="9">
        <v>46039</v>
      </c>
      <c r="K11" s="4" t="s">
        <v>49</v>
      </c>
      <c r="L11" s="11"/>
    </row>
    <row r="12" spans="1:12" ht="28.5" x14ac:dyDescent="0.25">
      <c r="A12" s="4">
        <v>10</v>
      </c>
      <c r="B12" s="10" t="s">
        <v>52</v>
      </c>
      <c r="C12" s="11" t="s">
        <v>53</v>
      </c>
      <c r="D12" s="5">
        <v>28387272</v>
      </c>
      <c r="E12" s="4">
        <v>140</v>
      </c>
      <c r="F12" s="14">
        <v>140</v>
      </c>
      <c r="G12" s="6">
        <f t="shared" si="0"/>
        <v>0</v>
      </c>
      <c r="H12" s="7">
        <v>46035</v>
      </c>
      <c r="I12" s="8" t="s">
        <v>13</v>
      </c>
      <c r="J12" s="9">
        <v>46039</v>
      </c>
      <c r="K12" s="4" t="s">
        <v>49</v>
      </c>
      <c r="L12" s="11"/>
    </row>
    <row r="13" spans="1:12" ht="28.5" x14ac:dyDescent="0.25">
      <c r="A13" s="4">
        <v>11</v>
      </c>
      <c r="B13" s="10">
        <v>908122011</v>
      </c>
      <c r="C13" s="11" t="s">
        <v>55</v>
      </c>
      <c r="D13" s="5">
        <v>28387272</v>
      </c>
      <c r="E13" s="4">
        <v>3</v>
      </c>
      <c r="F13" s="14">
        <v>3</v>
      </c>
      <c r="G13" s="6">
        <f t="shared" si="0"/>
        <v>0</v>
      </c>
      <c r="H13" s="7">
        <v>46035</v>
      </c>
      <c r="I13" s="8" t="s">
        <v>13</v>
      </c>
      <c r="J13" s="9">
        <v>46048</v>
      </c>
      <c r="K13" s="4" t="s">
        <v>49</v>
      </c>
      <c r="L13" s="11"/>
    </row>
    <row r="14" spans="1:12" ht="28.5" x14ac:dyDescent="0.25">
      <c r="A14" s="4"/>
      <c r="B14" s="10"/>
      <c r="C14" s="11"/>
      <c r="D14" s="5"/>
      <c r="E14" s="4"/>
      <c r="F14" s="14"/>
      <c r="G14" s="6"/>
      <c r="H14" s="7"/>
      <c r="I14" s="8"/>
      <c r="J14" s="9"/>
      <c r="K14" s="4"/>
      <c r="L14" s="11"/>
    </row>
    <row r="15" spans="1:12" ht="28.5" x14ac:dyDescent="0.25">
      <c r="A15" s="4"/>
      <c r="B15" s="10"/>
      <c r="C15" s="11"/>
      <c r="D15" s="5"/>
      <c r="E15" s="4"/>
      <c r="F15" s="14"/>
      <c r="G15" s="6"/>
      <c r="H15" s="7"/>
      <c r="I15" s="8"/>
      <c r="J15" s="9"/>
      <c r="K15" s="4"/>
      <c r="L15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961D-8208-442D-A9F9-40B586262FA4}">
  <sheetPr>
    <tabColor theme="2"/>
  </sheetPr>
  <dimension ref="A1:L4"/>
  <sheetViews>
    <sheetView zoomScale="78" zoomScaleNormal="78" workbookViewId="0">
      <selection activeCell="C23" sqref="C23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41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3">
        <v>908370504</v>
      </c>
      <c r="C3" s="12" t="s">
        <v>48</v>
      </c>
      <c r="D3" s="5">
        <v>28341470</v>
      </c>
      <c r="E3" s="17">
        <v>1</v>
      </c>
      <c r="F3" s="14">
        <v>1</v>
      </c>
      <c r="G3" s="6">
        <f>E3-F3</f>
        <v>0</v>
      </c>
      <c r="H3" s="7">
        <v>46027</v>
      </c>
      <c r="I3" s="8" t="s">
        <v>13</v>
      </c>
      <c r="J3" s="7">
        <v>46032</v>
      </c>
      <c r="K3" s="4" t="s">
        <v>49</v>
      </c>
      <c r="L3" s="15"/>
    </row>
    <row r="4" spans="1:12" ht="28.5" x14ac:dyDescent="0.25">
      <c r="A4" s="4">
        <v>2</v>
      </c>
      <c r="B4" s="13">
        <v>908402207</v>
      </c>
      <c r="C4" s="12" t="s">
        <v>42</v>
      </c>
      <c r="D4" s="5">
        <v>28341470</v>
      </c>
      <c r="E4" s="17">
        <v>1</v>
      </c>
      <c r="F4" s="14">
        <v>1</v>
      </c>
      <c r="G4" s="6">
        <f>E4-F4</f>
        <v>0</v>
      </c>
      <c r="H4" s="7">
        <v>46027</v>
      </c>
      <c r="I4" s="8" t="s">
        <v>13</v>
      </c>
      <c r="J4" s="7">
        <v>46032</v>
      </c>
      <c r="K4" s="4" t="s">
        <v>49</v>
      </c>
      <c r="L4" s="15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B173-C2DF-4E7E-A767-D07C79C0AABD}">
  <dimension ref="A1:L33"/>
  <sheetViews>
    <sheetView zoomScale="78" zoomScaleNormal="78" workbookViewId="0">
      <selection activeCell="L16" sqref="L16"/>
    </sheetView>
  </sheetViews>
  <sheetFormatPr defaultRowHeight="30" customHeight="1" x14ac:dyDescent="0.25"/>
  <cols>
    <col min="2" max="2" width="20.140625" bestFit="1" customWidth="1"/>
    <col min="3" max="3" width="84" bestFit="1" customWidth="1"/>
    <col min="4" max="4" width="24.42578125" bestFit="1" customWidth="1"/>
    <col min="5" max="5" width="22.42578125" bestFit="1" customWidth="1"/>
    <col min="6" max="6" width="21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6.75" customHeight="1" x14ac:dyDescent="0.25">
      <c r="A1" s="46" t="s">
        <v>35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54" customHeight="1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49.5" customHeight="1" x14ac:dyDescent="0.25">
      <c r="A3" s="4">
        <v>1</v>
      </c>
      <c r="B3" s="19" t="s">
        <v>29</v>
      </c>
      <c r="C3" s="12" t="s">
        <v>23</v>
      </c>
      <c r="D3" s="4">
        <v>28341249</v>
      </c>
      <c r="E3" s="4">
        <f>6+3</f>
        <v>9</v>
      </c>
      <c r="F3" s="14">
        <f>3+6</f>
        <v>9</v>
      </c>
      <c r="G3" s="6">
        <f>E3-F3</f>
        <v>0</v>
      </c>
      <c r="H3" s="18" t="s">
        <v>250</v>
      </c>
      <c r="I3" s="11" t="s">
        <v>13</v>
      </c>
      <c r="J3" s="18" t="s">
        <v>302</v>
      </c>
      <c r="K3" s="4" t="s">
        <v>301</v>
      </c>
      <c r="L3" s="15"/>
    </row>
    <row r="4" spans="1:12" ht="30" customHeight="1" x14ac:dyDescent="0.25">
      <c r="A4" s="4">
        <v>2</v>
      </c>
      <c r="B4" s="12">
        <v>905743739</v>
      </c>
      <c r="C4" s="12" t="s">
        <v>25</v>
      </c>
      <c r="D4" s="4">
        <v>28341249</v>
      </c>
      <c r="E4" s="4">
        <v>31</v>
      </c>
      <c r="F4" s="14"/>
      <c r="G4" s="6">
        <f>E4-F4</f>
        <v>31</v>
      </c>
      <c r="H4" s="16">
        <v>46027</v>
      </c>
      <c r="I4" s="11" t="s">
        <v>13</v>
      </c>
      <c r="J4" s="18"/>
      <c r="K4" s="15"/>
      <c r="L4" s="15"/>
    </row>
    <row r="5" spans="1:12" ht="43.5" customHeight="1" x14ac:dyDescent="0.25">
      <c r="A5" s="4">
        <v>3</v>
      </c>
      <c r="B5" s="19" t="s">
        <v>27</v>
      </c>
      <c r="C5" s="12" t="s">
        <v>24</v>
      </c>
      <c r="D5" s="4">
        <v>28341249</v>
      </c>
      <c r="E5" s="4">
        <f>6+3</f>
        <v>9</v>
      </c>
      <c r="F5" s="14">
        <f>3+6</f>
        <v>9</v>
      </c>
      <c r="G5" s="6">
        <f t="shared" ref="G5" si="0">E5-F5</f>
        <v>0</v>
      </c>
      <c r="H5" s="18" t="s">
        <v>250</v>
      </c>
      <c r="I5" s="11" t="s">
        <v>13</v>
      </c>
      <c r="J5" s="18" t="s">
        <v>302</v>
      </c>
      <c r="K5" s="4" t="s">
        <v>301</v>
      </c>
      <c r="L5" s="15"/>
    </row>
    <row r="6" spans="1:12" ht="30" customHeight="1" x14ac:dyDescent="0.25">
      <c r="A6" s="4">
        <v>4</v>
      </c>
      <c r="B6" s="19" t="s">
        <v>16</v>
      </c>
      <c r="C6" s="11" t="s">
        <v>19</v>
      </c>
      <c r="D6" s="4">
        <v>28341249</v>
      </c>
      <c r="E6" s="4">
        <v>6</v>
      </c>
      <c r="F6" s="14">
        <v>6</v>
      </c>
      <c r="G6" s="6">
        <f t="shared" ref="G6:G30" si="1">E6-F6</f>
        <v>0</v>
      </c>
      <c r="H6" s="16">
        <v>46027</v>
      </c>
      <c r="I6" s="11" t="s">
        <v>13</v>
      </c>
      <c r="J6" s="18">
        <v>46137</v>
      </c>
      <c r="K6" s="4" t="s">
        <v>61</v>
      </c>
      <c r="L6" s="15"/>
    </row>
    <row r="7" spans="1:12" ht="30" customHeight="1" x14ac:dyDescent="0.25">
      <c r="A7" s="4">
        <v>5</v>
      </c>
      <c r="B7" s="12">
        <v>905727926</v>
      </c>
      <c r="C7" s="12" t="s">
        <v>36</v>
      </c>
      <c r="D7" s="4">
        <v>28341249</v>
      </c>
      <c r="E7" s="4">
        <v>6</v>
      </c>
      <c r="F7" s="14"/>
      <c r="G7" s="6">
        <f t="shared" si="1"/>
        <v>6</v>
      </c>
      <c r="H7" s="16">
        <v>46027</v>
      </c>
      <c r="I7" s="11" t="s">
        <v>13</v>
      </c>
      <c r="J7" s="18"/>
      <c r="K7" s="4"/>
      <c r="L7" s="15"/>
    </row>
    <row r="8" spans="1:12" ht="44.25" customHeight="1" x14ac:dyDescent="0.25">
      <c r="A8" s="4">
        <v>6</v>
      </c>
      <c r="B8" s="12">
        <v>905759635</v>
      </c>
      <c r="C8" s="12" t="s">
        <v>31</v>
      </c>
      <c r="D8" s="4">
        <v>28341249</v>
      </c>
      <c r="E8" s="4">
        <v>9</v>
      </c>
      <c r="F8" s="14">
        <f>3+6</f>
        <v>9</v>
      </c>
      <c r="G8" s="6">
        <f t="shared" si="1"/>
        <v>0</v>
      </c>
      <c r="H8" s="16">
        <v>46027</v>
      </c>
      <c r="I8" s="11" t="s">
        <v>13</v>
      </c>
      <c r="J8" s="18" t="s">
        <v>302</v>
      </c>
      <c r="K8" s="4" t="s">
        <v>301</v>
      </c>
      <c r="L8" s="15"/>
    </row>
    <row r="9" spans="1:12" ht="30" customHeight="1" x14ac:dyDescent="0.25">
      <c r="A9" s="4">
        <v>7</v>
      </c>
      <c r="B9" s="12">
        <v>908318103</v>
      </c>
      <c r="C9" s="12" t="s">
        <v>39</v>
      </c>
      <c r="D9" s="4">
        <v>28341249</v>
      </c>
      <c r="E9" s="4">
        <v>1</v>
      </c>
      <c r="F9" s="14">
        <v>1</v>
      </c>
      <c r="G9" s="6">
        <f t="shared" si="1"/>
        <v>0</v>
      </c>
      <c r="H9" s="16">
        <v>46027</v>
      </c>
      <c r="I9" s="11" t="s">
        <v>13</v>
      </c>
      <c r="J9" s="18">
        <v>46036</v>
      </c>
      <c r="K9" s="4" t="s">
        <v>61</v>
      </c>
      <c r="L9" s="15"/>
    </row>
    <row r="10" spans="1:12" ht="44.25" customHeight="1" x14ac:dyDescent="0.25">
      <c r="A10" s="4">
        <v>8</v>
      </c>
      <c r="B10" s="19">
        <v>905773280</v>
      </c>
      <c r="C10" s="12" t="s">
        <v>45</v>
      </c>
      <c r="D10" s="4">
        <v>28341249</v>
      </c>
      <c r="E10" s="4">
        <v>1</v>
      </c>
      <c r="F10" s="14">
        <v>1</v>
      </c>
      <c r="G10" s="6">
        <f t="shared" si="1"/>
        <v>0</v>
      </c>
      <c r="H10" s="16">
        <v>46029</v>
      </c>
      <c r="I10" s="11" t="s">
        <v>13</v>
      </c>
      <c r="J10" s="18">
        <v>46036</v>
      </c>
      <c r="K10" s="4" t="s">
        <v>61</v>
      </c>
      <c r="L10" s="15"/>
    </row>
    <row r="11" spans="1:12" ht="30" customHeight="1" x14ac:dyDescent="0.25">
      <c r="A11" s="4">
        <v>9</v>
      </c>
      <c r="B11" s="12">
        <v>908513028</v>
      </c>
      <c r="C11" s="12" t="s">
        <v>40</v>
      </c>
      <c r="D11" s="4">
        <v>28341249</v>
      </c>
      <c r="E11" s="4">
        <v>1</v>
      </c>
      <c r="F11" s="14">
        <v>1</v>
      </c>
      <c r="G11" s="6">
        <f t="shared" si="1"/>
        <v>0</v>
      </c>
      <c r="H11" s="16">
        <v>46027</v>
      </c>
      <c r="I11" s="11" t="s">
        <v>13</v>
      </c>
      <c r="J11" s="18">
        <v>46036</v>
      </c>
      <c r="K11" s="4" t="s">
        <v>61</v>
      </c>
      <c r="L11" s="15"/>
    </row>
    <row r="12" spans="1:12" ht="30" customHeight="1" x14ac:dyDescent="0.25">
      <c r="A12" s="4">
        <v>10</v>
      </c>
      <c r="B12" s="12">
        <v>905902023</v>
      </c>
      <c r="C12" s="12" t="s">
        <v>66</v>
      </c>
      <c r="D12" s="4">
        <v>28341249</v>
      </c>
      <c r="E12" s="4">
        <v>6</v>
      </c>
      <c r="F12" s="14"/>
      <c r="G12" s="6">
        <f t="shared" si="1"/>
        <v>6</v>
      </c>
      <c r="H12" s="16">
        <v>46027</v>
      </c>
      <c r="I12" s="11" t="s">
        <v>13</v>
      </c>
      <c r="J12" s="18"/>
      <c r="K12" s="4"/>
      <c r="L12" s="15"/>
    </row>
    <row r="13" spans="1:12" ht="30" customHeight="1" x14ac:dyDescent="0.25">
      <c r="A13" s="4">
        <v>11</v>
      </c>
      <c r="B13" s="12">
        <v>908111102</v>
      </c>
      <c r="C13" s="12" t="s">
        <v>32</v>
      </c>
      <c r="D13" s="4">
        <v>28341249</v>
      </c>
      <c r="E13" s="4">
        <v>40</v>
      </c>
      <c r="F13" s="14">
        <v>40</v>
      </c>
      <c r="G13" s="6">
        <f t="shared" si="1"/>
        <v>0</v>
      </c>
      <c r="H13" s="16">
        <v>45665</v>
      </c>
      <c r="I13" s="11" t="s">
        <v>13</v>
      </c>
      <c r="J13" s="18">
        <v>46137</v>
      </c>
      <c r="K13" s="4" t="s">
        <v>61</v>
      </c>
      <c r="L13" s="15"/>
    </row>
    <row r="14" spans="1:12" ht="30" customHeight="1" x14ac:dyDescent="0.25">
      <c r="A14" s="4">
        <v>12</v>
      </c>
      <c r="B14" s="12">
        <v>908121009</v>
      </c>
      <c r="C14" s="12" t="s">
        <v>38</v>
      </c>
      <c r="D14" s="4">
        <v>28341249</v>
      </c>
      <c r="E14" s="4">
        <v>1</v>
      </c>
      <c r="F14" s="14"/>
      <c r="G14" s="6">
        <f t="shared" si="1"/>
        <v>1</v>
      </c>
      <c r="H14" s="16">
        <v>46027</v>
      </c>
      <c r="I14" s="11" t="s">
        <v>13</v>
      </c>
      <c r="J14" s="18"/>
      <c r="K14" s="4"/>
      <c r="L14" s="15"/>
    </row>
    <row r="15" spans="1:12" ht="39" customHeight="1" x14ac:dyDescent="0.25">
      <c r="A15" s="4">
        <v>13</v>
      </c>
      <c r="B15" s="12">
        <v>505901259</v>
      </c>
      <c r="C15" s="12" t="s">
        <v>37</v>
      </c>
      <c r="D15" s="4">
        <v>28341249</v>
      </c>
      <c r="E15" s="4">
        <f>4+2</f>
        <v>6</v>
      </c>
      <c r="F15" s="14"/>
      <c r="G15" s="6">
        <f t="shared" si="1"/>
        <v>6</v>
      </c>
      <c r="H15" s="18" t="s">
        <v>44</v>
      </c>
      <c r="I15" s="11" t="s">
        <v>13</v>
      </c>
      <c r="J15" s="18"/>
      <c r="K15" s="4"/>
      <c r="L15" s="15"/>
    </row>
    <row r="16" spans="1:12" ht="54.75" customHeight="1" x14ac:dyDescent="0.25">
      <c r="A16" s="4">
        <v>14</v>
      </c>
      <c r="B16" s="19" t="s">
        <v>28</v>
      </c>
      <c r="C16" s="12" t="s">
        <v>30</v>
      </c>
      <c r="D16" s="4">
        <v>28341249</v>
      </c>
      <c r="E16" s="4">
        <f>6+3</f>
        <v>9</v>
      </c>
      <c r="F16" s="14">
        <f>3+6</f>
        <v>9</v>
      </c>
      <c r="G16" s="6">
        <f t="shared" si="1"/>
        <v>0</v>
      </c>
      <c r="H16" s="18" t="s">
        <v>271</v>
      </c>
      <c r="I16" s="11" t="s">
        <v>13</v>
      </c>
      <c r="J16" s="18" t="s">
        <v>302</v>
      </c>
      <c r="K16" s="4" t="s">
        <v>301</v>
      </c>
      <c r="L16" s="15"/>
    </row>
    <row r="17" spans="1:12" ht="30" customHeight="1" x14ac:dyDescent="0.25">
      <c r="A17" s="4">
        <v>15</v>
      </c>
      <c r="B17" s="12">
        <v>905727936</v>
      </c>
      <c r="C17" s="12" t="s">
        <v>26</v>
      </c>
      <c r="D17" s="4">
        <v>28341249</v>
      </c>
      <c r="E17" s="4">
        <v>9</v>
      </c>
      <c r="F17" s="14"/>
      <c r="G17" s="6">
        <f t="shared" si="1"/>
        <v>9</v>
      </c>
      <c r="H17" s="16">
        <v>46027</v>
      </c>
      <c r="I17" s="11" t="s">
        <v>13</v>
      </c>
      <c r="J17" s="18"/>
      <c r="K17" s="4"/>
      <c r="L17" s="15"/>
    </row>
    <row r="18" spans="1:12" ht="45.75" customHeight="1" x14ac:dyDescent="0.25">
      <c r="A18" s="4">
        <v>16</v>
      </c>
      <c r="B18" s="12">
        <v>905728003</v>
      </c>
      <c r="C18" s="12" t="s">
        <v>43</v>
      </c>
      <c r="D18" s="4">
        <v>28341249</v>
      </c>
      <c r="E18" s="4">
        <f>6+3</f>
        <v>9</v>
      </c>
      <c r="F18" s="14">
        <f>3+6</f>
        <v>9</v>
      </c>
      <c r="G18" s="6">
        <f t="shared" si="1"/>
        <v>0</v>
      </c>
      <c r="H18" s="18" t="s">
        <v>271</v>
      </c>
      <c r="I18" s="11" t="s">
        <v>13</v>
      </c>
      <c r="J18" s="18" t="s">
        <v>302</v>
      </c>
      <c r="K18" s="4" t="s">
        <v>301</v>
      </c>
      <c r="L18" s="15"/>
    </row>
    <row r="19" spans="1:12" ht="30" customHeight="1" x14ac:dyDescent="0.25">
      <c r="A19" s="4">
        <v>17</v>
      </c>
      <c r="B19" s="12">
        <v>908020201</v>
      </c>
      <c r="C19" s="11" t="s">
        <v>12</v>
      </c>
      <c r="D19" s="4">
        <v>28341249</v>
      </c>
      <c r="E19" s="4">
        <v>2</v>
      </c>
      <c r="F19" s="14">
        <v>2</v>
      </c>
      <c r="G19" s="6">
        <f t="shared" si="1"/>
        <v>0</v>
      </c>
      <c r="H19" s="16">
        <v>46027</v>
      </c>
      <c r="I19" s="11" t="s">
        <v>13</v>
      </c>
      <c r="J19" s="18">
        <v>46036</v>
      </c>
      <c r="K19" s="4" t="s">
        <v>61</v>
      </c>
      <c r="L19" s="15"/>
    </row>
    <row r="20" spans="1:12" ht="30" customHeight="1" x14ac:dyDescent="0.25">
      <c r="A20" s="4">
        <v>18</v>
      </c>
      <c r="B20" s="12">
        <v>908202189</v>
      </c>
      <c r="C20" s="11" t="s">
        <v>18</v>
      </c>
      <c r="D20" s="4">
        <v>28341249</v>
      </c>
      <c r="E20" s="4">
        <v>12</v>
      </c>
      <c r="F20" s="14">
        <v>12</v>
      </c>
      <c r="G20" s="6">
        <f t="shared" si="1"/>
        <v>0</v>
      </c>
      <c r="H20" s="16">
        <v>46027</v>
      </c>
      <c r="I20" s="11" t="s">
        <v>13</v>
      </c>
      <c r="J20" s="18">
        <v>46137</v>
      </c>
      <c r="K20" s="4" t="s">
        <v>61</v>
      </c>
      <c r="L20" s="15"/>
    </row>
    <row r="21" spans="1:12" ht="66" customHeight="1" x14ac:dyDescent="0.25">
      <c r="A21" s="4">
        <v>19</v>
      </c>
      <c r="B21" s="12" t="s">
        <v>17</v>
      </c>
      <c r="C21" s="11" t="s">
        <v>21</v>
      </c>
      <c r="D21" s="4">
        <v>28341249</v>
      </c>
      <c r="E21" s="4">
        <v>15</v>
      </c>
      <c r="F21" s="14">
        <f>2+2+4</f>
        <v>8</v>
      </c>
      <c r="G21" s="6">
        <f t="shared" si="1"/>
        <v>7</v>
      </c>
      <c r="H21" s="16">
        <v>46029</v>
      </c>
      <c r="I21" s="11" t="s">
        <v>13</v>
      </c>
      <c r="J21" s="18" t="s">
        <v>304</v>
      </c>
      <c r="K21" s="4" t="s">
        <v>301</v>
      </c>
      <c r="L21" s="15"/>
    </row>
    <row r="22" spans="1:12" ht="47.25" customHeight="1" x14ac:dyDescent="0.25">
      <c r="A22" s="4">
        <v>20</v>
      </c>
      <c r="B22" s="12">
        <v>905728066</v>
      </c>
      <c r="C22" s="11" t="s">
        <v>46</v>
      </c>
      <c r="D22" s="4">
        <v>28341249</v>
      </c>
      <c r="E22" s="4">
        <v>480</v>
      </c>
      <c r="F22" s="14">
        <f>30+300+150</f>
        <v>480</v>
      </c>
      <c r="G22" s="6">
        <f t="shared" si="1"/>
        <v>0</v>
      </c>
      <c r="H22" s="16">
        <v>46030</v>
      </c>
      <c r="I22" s="11" t="s">
        <v>13</v>
      </c>
      <c r="J22" s="18" t="s">
        <v>299</v>
      </c>
      <c r="K22" s="4" t="s">
        <v>301</v>
      </c>
      <c r="L22" s="15"/>
    </row>
    <row r="23" spans="1:12" ht="30" customHeight="1" x14ac:dyDescent="0.25">
      <c r="A23" s="4">
        <v>21</v>
      </c>
      <c r="B23" s="12">
        <v>908111006</v>
      </c>
      <c r="C23" s="11" t="s">
        <v>60</v>
      </c>
      <c r="D23" s="4">
        <v>28341249</v>
      </c>
      <c r="E23" s="4">
        <v>12</v>
      </c>
      <c r="F23" s="14"/>
      <c r="G23" s="6">
        <f t="shared" si="1"/>
        <v>12</v>
      </c>
      <c r="H23" s="16">
        <v>46037</v>
      </c>
      <c r="I23" s="11" t="s">
        <v>13</v>
      </c>
      <c r="J23" s="18"/>
      <c r="K23" s="4"/>
      <c r="L23" s="15"/>
    </row>
    <row r="24" spans="1:12" ht="30" customHeight="1" x14ac:dyDescent="0.25">
      <c r="A24" s="4">
        <v>22</v>
      </c>
      <c r="B24" s="12">
        <v>908111004</v>
      </c>
      <c r="C24" s="11" t="s">
        <v>62</v>
      </c>
      <c r="D24" s="4">
        <v>28341249</v>
      </c>
      <c r="E24" s="4">
        <v>70</v>
      </c>
      <c r="F24" s="14"/>
      <c r="G24" s="6">
        <f t="shared" si="1"/>
        <v>70</v>
      </c>
      <c r="H24" s="16">
        <v>46047</v>
      </c>
      <c r="I24" s="11" t="s">
        <v>13</v>
      </c>
      <c r="J24" s="18"/>
      <c r="K24" s="4"/>
      <c r="L24" s="15"/>
    </row>
    <row r="25" spans="1:12" ht="30" customHeight="1" x14ac:dyDescent="0.25">
      <c r="A25" s="4">
        <v>23</v>
      </c>
      <c r="B25" s="12">
        <v>905708973</v>
      </c>
      <c r="C25" s="11" t="s">
        <v>64</v>
      </c>
      <c r="D25" s="4">
        <v>28341249</v>
      </c>
      <c r="E25" s="4">
        <v>2</v>
      </c>
      <c r="F25" s="14"/>
      <c r="G25" s="6">
        <f t="shared" si="1"/>
        <v>2</v>
      </c>
      <c r="H25" s="16">
        <v>46036</v>
      </c>
      <c r="I25" s="11" t="s">
        <v>13</v>
      </c>
      <c r="J25" s="18"/>
      <c r="K25" s="4"/>
      <c r="L25" s="15"/>
    </row>
    <row r="26" spans="1:12" ht="41.25" customHeight="1" x14ac:dyDescent="0.25">
      <c r="A26" s="4">
        <v>24</v>
      </c>
      <c r="B26" s="11">
        <v>908111003</v>
      </c>
      <c r="C26" s="11" t="s">
        <v>65</v>
      </c>
      <c r="D26" s="4">
        <v>28341249</v>
      </c>
      <c r="E26" s="4">
        <v>75</v>
      </c>
      <c r="F26" s="14">
        <f>10+74+75</f>
        <v>159</v>
      </c>
      <c r="G26" s="6">
        <f t="shared" si="1"/>
        <v>-84</v>
      </c>
      <c r="H26" s="16">
        <v>46051</v>
      </c>
      <c r="I26" s="11" t="s">
        <v>13</v>
      </c>
      <c r="J26" s="18" t="s">
        <v>299</v>
      </c>
      <c r="K26" s="4" t="s">
        <v>301</v>
      </c>
      <c r="L26" s="15"/>
    </row>
    <row r="27" spans="1:12" ht="57" customHeight="1" x14ac:dyDescent="0.25">
      <c r="A27" s="4">
        <v>25</v>
      </c>
      <c r="B27" s="11">
        <v>908122039</v>
      </c>
      <c r="C27" s="11" t="s">
        <v>67</v>
      </c>
      <c r="D27" s="4"/>
      <c r="E27" s="4"/>
      <c r="F27" s="14">
        <f>2+1+1</f>
        <v>4</v>
      </c>
      <c r="G27" s="6">
        <f t="shared" si="1"/>
        <v>-4</v>
      </c>
      <c r="H27" s="16"/>
      <c r="I27" s="11"/>
      <c r="J27" s="18" t="s">
        <v>302</v>
      </c>
      <c r="K27" s="4" t="s">
        <v>301</v>
      </c>
      <c r="L27" s="15"/>
    </row>
    <row r="28" spans="1:12" ht="30" customHeight="1" x14ac:dyDescent="0.25">
      <c r="A28" s="4">
        <v>26</v>
      </c>
      <c r="B28" s="11">
        <v>908113004</v>
      </c>
      <c r="C28" s="11" t="s">
        <v>78</v>
      </c>
      <c r="D28" s="4">
        <v>28341249</v>
      </c>
      <c r="E28" s="4">
        <v>17</v>
      </c>
      <c r="F28" s="14"/>
      <c r="G28" s="6">
        <f t="shared" si="1"/>
        <v>17</v>
      </c>
      <c r="H28" s="16">
        <v>46037</v>
      </c>
      <c r="I28" s="11" t="s">
        <v>13</v>
      </c>
      <c r="J28" s="18"/>
      <c r="K28" s="4"/>
      <c r="L28" s="15"/>
    </row>
    <row r="29" spans="1:12" ht="30" customHeight="1" x14ac:dyDescent="0.25">
      <c r="A29" s="4">
        <v>27</v>
      </c>
      <c r="B29" s="11">
        <v>905835838</v>
      </c>
      <c r="C29" s="11" t="s">
        <v>86</v>
      </c>
      <c r="D29" s="4">
        <v>28341249</v>
      </c>
      <c r="E29" s="4">
        <v>3</v>
      </c>
      <c r="F29" s="14">
        <v>3</v>
      </c>
      <c r="G29" s="6">
        <f t="shared" si="1"/>
        <v>0</v>
      </c>
      <c r="H29" s="16">
        <v>46127</v>
      </c>
      <c r="I29" s="11" t="s">
        <v>13</v>
      </c>
      <c r="J29" s="18">
        <v>46137</v>
      </c>
      <c r="K29" s="4" t="s">
        <v>61</v>
      </c>
      <c r="L29" s="15"/>
    </row>
    <row r="30" spans="1:12" ht="30" customHeight="1" x14ac:dyDescent="0.25">
      <c r="A30" s="4">
        <v>28</v>
      </c>
      <c r="B30" s="11">
        <v>908202030</v>
      </c>
      <c r="C30" s="11" t="s">
        <v>15</v>
      </c>
      <c r="D30" s="4"/>
      <c r="E30" s="4"/>
      <c r="F30" s="14">
        <v>3</v>
      </c>
      <c r="G30" s="6">
        <f t="shared" si="1"/>
        <v>-3</v>
      </c>
      <c r="H30" s="16"/>
      <c r="I30" s="11"/>
      <c r="J30" s="18">
        <v>46137</v>
      </c>
      <c r="K30" s="4" t="s">
        <v>61</v>
      </c>
      <c r="L30" s="15"/>
    </row>
    <row r="31" spans="1:12" ht="30" customHeight="1" x14ac:dyDescent="0.25">
      <c r="A31" s="1" t="s">
        <v>0</v>
      </c>
      <c r="B31" s="2" t="s">
        <v>1</v>
      </c>
      <c r="C31" s="1" t="s">
        <v>107</v>
      </c>
      <c r="D31" s="1" t="s">
        <v>4</v>
      </c>
      <c r="E31" s="51" t="s">
        <v>10</v>
      </c>
      <c r="F31" s="56"/>
      <c r="G31" s="61" t="s">
        <v>7</v>
      </c>
      <c r="H31" s="62"/>
    </row>
    <row r="32" spans="1:12" ht="30" customHeight="1" x14ac:dyDescent="0.25">
      <c r="A32" s="4">
        <v>1</v>
      </c>
      <c r="B32" s="12">
        <v>905728066</v>
      </c>
      <c r="C32" s="11" t="s">
        <v>106</v>
      </c>
      <c r="D32" s="4">
        <v>2</v>
      </c>
      <c r="E32" s="57" t="s">
        <v>61</v>
      </c>
      <c r="F32" s="58"/>
      <c r="G32" s="59">
        <v>46041</v>
      </c>
      <c r="H32" s="60"/>
    </row>
    <row r="33" spans="1:8" ht="30" customHeight="1" x14ac:dyDescent="0.25">
      <c r="A33" s="4">
        <v>2</v>
      </c>
      <c r="B33" s="12">
        <v>905728066</v>
      </c>
      <c r="C33" s="11" t="s">
        <v>106</v>
      </c>
      <c r="D33" s="4">
        <f>0.52+0.51+0.5+0.49+0.46+0.43</f>
        <v>2.91</v>
      </c>
      <c r="E33" s="57" t="s">
        <v>303</v>
      </c>
      <c r="F33" s="58"/>
      <c r="G33" s="59">
        <v>46139</v>
      </c>
      <c r="H33" s="60"/>
    </row>
  </sheetData>
  <mergeCells count="7">
    <mergeCell ref="E33:F33"/>
    <mergeCell ref="G33:H33"/>
    <mergeCell ref="A1:L1"/>
    <mergeCell ref="E31:F31"/>
    <mergeCell ref="E32:F32"/>
    <mergeCell ref="G31:H31"/>
    <mergeCell ref="G32:H32"/>
  </mergeCells>
  <pageMargins left="0.7" right="0.7" top="0.75" bottom="0.75" header="0.3" footer="0.3"/>
  <pageSetup scale="27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9138-E446-4EE7-84F8-2D2A7E58B8EA}">
  <dimension ref="A1:L17"/>
  <sheetViews>
    <sheetView zoomScale="78" zoomScaleNormal="78" workbookViewId="0">
      <selection sqref="A1:L1"/>
    </sheetView>
  </sheetViews>
  <sheetFormatPr defaultRowHeight="15" x14ac:dyDescent="0.25"/>
  <cols>
    <col min="2" max="2" width="20.140625" bestFit="1" customWidth="1"/>
    <col min="3" max="3" width="74.85546875" customWidth="1"/>
    <col min="4" max="4" width="24.42578125" bestFit="1" customWidth="1"/>
    <col min="5" max="5" width="22.42578125" bestFit="1" customWidth="1"/>
    <col min="6" max="6" width="15.42578125" bestFit="1" customWidth="1"/>
    <col min="7" max="7" width="16.85546875" bestFit="1" customWidth="1"/>
    <col min="8" max="8" width="26.85546875" bestFit="1" customWidth="1"/>
    <col min="9" max="9" width="27.7109375" bestFit="1" customWidth="1"/>
    <col min="10" max="10" width="30.5703125" bestFit="1" customWidth="1"/>
    <col min="11" max="11" width="30.5703125" customWidth="1"/>
    <col min="12" max="12" width="33.28515625" bestFit="1" customWidth="1"/>
  </cols>
  <sheetData>
    <row r="1" spans="1:12" ht="61.5" x14ac:dyDescent="0.25">
      <c r="A1" s="46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6.25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1" t="s">
        <v>10</v>
      </c>
      <c r="L2" s="1" t="s">
        <v>11</v>
      </c>
    </row>
    <row r="3" spans="1:12" ht="28.5" x14ac:dyDescent="0.25">
      <c r="A3" s="4">
        <v>1</v>
      </c>
      <c r="B3" s="10">
        <v>908312027</v>
      </c>
      <c r="C3" s="11" t="s">
        <v>33</v>
      </c>
      <c r="D3" s="5">
        <v>28341480</v>
      </c>
      <c r="E3" s="4">
        <v>1</v>
      </c>
      <c r="F3" s="14">
        <v>1</v>
      </c>
      <c r="G3" s="6">
        <f>E3-F3</f>
        <v>0</v>
      </c>
      <c r="H3" s="7">
        <v>46027</v>
      </c>
      <c r="I3" s="8" t="s">
        <v>13</v>
      </c>
      <c r="J3" s="9">
        <v>46033</v>
      </c>
      <c r="K3" s="4" t="s">
        <v>116</v>
      </c>
      <c r="L3" s="11"/>
    </row>
    <row r="4" spans="1:12" ht="28.5" x14ac:dyDescent="0.25">
      <c r="A4" s="4">
        <v>2</v>
      </c>
      <c r="B4" s="10">
        <v>908121008</v>
      </c>
      <c r="C4" s="11" t="s">
        <v>14</v>
      </c>
      <c r="D4" s="5">
        <v>28341480</v>
      </c>
      <c r="E4" s="4">
        <v>3</v>
      </c>
      <c r="F4" s="14">
        <v>3</v>
      </c>
      <c r="G4" s="6">
        <f t="shared" ref="G4:G17" si="0">E4-F4</f>
        <v>0</v>
      </c>
      <c r="H4" s="7">
        <v>46027</v>
      </c>
      <c r="I4" s="8" t="s">
        <v>13</v>
      </c>
      <c r="J4" s="9">
        <v>46033</v>
      </c>
      <c r="K4" s="4" t="s">
        <v>116</v>
      </c>
      <c r="L4" s="11"/>
    </row>
    <row r="5" spans="1:12" ht="52.5" x14ac:dyDescent="0.25">
      <c r="A5" s="4">
        <v>3</v>
      </c>
      <c r="B5" s="10">
        <v>908121010</v>
      </c>
      <c r="C5" s="11" t="s">
        <v>22</v>
      </c>
      <c r="D5" s="5">
        <v>28341480</v>
      </c>
      <c r="E5" s="4">
        <v>2</v>
      </c>
      <c r="F5" s="14">
        <f>1+1</f>
        <v>2</v>
      </c>
      <c r="G5" s="6">
        <f t="shared" si="0"/>
        <v>0</v>
      </c>
      <c r="H5" s="7">
        <v>46027</v>
      </c>
      <c r="I5" s="8" t="s">
        <v>13</v>
      </c>
      <c r="J5" s="24" t="s">
        <v>108</v>
      </c>
      <c r="K5" s="4" t="s">
        <v>116</v>
      </c>
      <c r="L5" s="11"/>
    </row>
    <row r="6" spans="1:12" ht="42" x14ac:dyDescent="0.25">
      <c r="A6" s="4">
        <v>4</v>
      </c>
      <c r="B6" s="10">
        <v>908202030</v>
      </c>
      <c r="C6" s="11" t="s">
        <v>15</v>
      </c>
      <c r="D6" s="26" t="s">
        <v>294</v>
      </c>
      <c r="E6" s="4">
        <f>2+3</f>
        <v>5</v>
      </c>
      <c r="F6" s="14">
        <v>2</v>
      </c>
      <c r="G6" s="6">
        <f t="shared" si="0"/>
        <v>3</v>
      </c>
      <c r="H6" s="7" t="s">
        <v>295</v>
      </c>
      <c r="I6" s="8" t="s">
        <v>13</v>
      </c>
      <c r="J6" s="9">
        <v>46033</v>
      </c>
      <c r="K6" s="4" t="s">
        <v>116</v>
      </c>
      <c r="L6" s="11"/>
    </row>
    <row r="7" spans="1:12" ht="52.5" x14ac:dyDescent="0.25">
      <c r="A7" s="4">
        <v>5</v>
      </c>
      <c r="B7" s="10" t="s">
        <v>16</v>
      </c>
      <c r="C7" s="11" t="s">
        <v>19</v>
      </c>
      <c r="D7" s="26" t="s">
        <v>294</v>
      </c>
      <c r="E7" s="4">
        <f>2+3</f>
        <v>5</v>
      </c>
      <c r="F7" s="14">
        <f>2+3</f>
        <v>5</v>
      </c>
      <c r="G7" s="6">
        <f t="shared" si="0"/>
        <v>0</v>
      </c>
      <c r="H7" s="7" t="s">
        <v>295</v>
      </c>
      <c r="I7" s="8" t="s">
        <v>13</v>
      </c>
      <c r="J7" s="24" t="s">
        <v>298</v>
      </c>
      <c r="K7" s="4" t="s">
        <v>116</v>
      </c>
      <c r="L7" s="11"/>
    </row>
    <row r="8" spans="1:12" ht="28.5" x14ac:dyDescent="0.25">
      <c r="A8" s="4">
        <v>6</v>
      </c>
      <c r="B8" s="10">
        <v>908202098</v>
      </c>
      <c r="C8" s="11" t="s">
        <v>20</v>
      </c>
      <c r="D8" s="5">
        <v>28341480</v>
      </c>
      <c r="E8" s="4">
        <v>2</v>
      </c>
      <c r="F8" s="14">
        <v>2</v>
      </c>
      <c r="G8" s="6">
        <f t="shared" si="0"/>
        <v>0</v>
      </c>
      <c r="H8" s="7">
        <v>46027</v>
      </c>
      <c r="I8" s="8" t="s">
        <v>13</v>
      </c>
      <c r="J8" s="9">
        <v>46033</v>
      </c>
      <c r="K8" s="4" t="s">
        <v>116</v>
      </c>
      <c r="L8" s="11"/>
    </row>
    <row r="9" spans="1:12" ht="52.5" x14ac:dyDescent="0.25">
      <c r="A9" s="4">
        <v>7</v>
      </c>
      <c r="B9" s="10">
        <v>908111101</v>
      </c>
      <c r="C9" s="11" t="s">
        <v>47</v>
      </c>
      <c r="D9" s="26" t="s">
        <v>294</v>
      </c>
      <c r="E9" s="4">
        <f>6+6</f>
        <v>12</v>
      </c>
      <c r="F9" s="14">
        <f>6+6</f>
        <v>12</v>
      </c>
      <c r="G9" s="6">
        <f t="shared" si="0"/>
        <v>0</v>
      </c>
      <c r="H9" s="7" t="s">
        <v>295</v>
      </c>
      <c r="I9" s="8" t="s">
        <v>13</v>
      </c>
      <c r="J9" s="24" t="s">
        <v>298</v>
      </c>
      <c r="K9" s="4" t="s">
        <v>116</v>
      </c>
      <c r="L9" s="11"/>
    </row>
    <row r="10" spans="1:12" ht="42" x14ac:dyDescent="0.25">
      <c r="A10" s="4">
        <v>8</v>
      </c>
      <c r="B10" s="10">
        <v>908020201</v>
      </c>
      <c r="C10" s="11" t="s">
        <v>12</v>
      </c>
      <c r="D10" s="26" t="s">
        <v>294</v>
      </c>
      <c r="E10" s="4">
        <f>1+3</f>
        <v>4</v>
      </c>
      <c r="F10" s="14">
        <v>1</v>
      </c>
      <c r="G10" s="6">
        <f t="shared" si="0"/>
        <v>3</v>
      </c>
      <c r="H10" s="7" t="s">
        <v>295</v>
      </c>
      <c r="I10" s="8" t="s">
        <v>13</v>
      </c>
      <c r="J10" s="9">
        <v>46033</v>
      </c>
      <c r="K10" s="4" t="s">
        <v>116</v>
      </c>
      <c r="L10" s="11"/>
    </row>
    <row r="11" spans="1:12" ht="28.5" x14ac:dyDescent="0.25">
      <c r="A11" s="4">
        <v>9</v>
      </c>
      <c r="B11" s="10" t="s">
        <v>50</v>
      </c>
      <c r="C11" s="11" t="s">
        <v>51</v>
      </c>
      <c r="D11" s="5">
        <v>28341480</v>
      </c>
      <c r="E11" s="4">
        <v>50</v>
      </c>
      <c r="F11" s="14">
        <v>54</v>
      </c>
      <c r="G11" s="6">
        <f t="shared" si="0"/>
        <v>-4</v>
      </c>
      <c r="H11" s="7">
        <v>46035</v>
      </c>
      <c r="I11" s="8" t="s">
        <v>13</v>
      </c>
      <c r="J11" s="9">
        <v>46033</v>
      </c>
      <c r="K11" s="4" t="s">
        <v>116</v>
      </c>
      <c r="L11" s="11"/>
    </row>
    <row r="12" spans="1:12" ht="28.5" x14ac:dyDescent="0.25">
      <c r="A12" s="4">
        <v>10</v>
      </c>
      <c r="B12" s="10" t="s">
        <v>52</v>
      </c>
      <c r="C12" s="11" t="s">
        <v>53</v>
      </c>
      <c r="D12" s="5">
        <v>28341480</v>
      </c>
      <c r="E12" s="4">
        <v>85</v>
      </c>
      <c r="F12" s="14">
        <v>86</v>
      </c>
      <c r="G12" s="6">
        <f t="shared" si="0"/>
        <v>-1</v>
      </c>
      <c r="H12" s="7">
        <v>46035</v>
      </c>
      <c r="I12" s="8" t="s">
        <v>13</v>
      </c>
      <c r="J12" s="9">
        <v>46033</v>
      </c>
      <c r="K12" s="4" t="s">
        <v>116</v>
      </c>
      <c r="L12" s="11"/>
    </row>
    <row r="13" spans="1:12" ht="28.5" x14ac:dyDescent="0.25">
      <c r="A13" s="4">
        <v>11</v>
      </c>
      <c r="B13" s="10">
        <v>908122011</v>
      </c>
      <c r="C13" s="11" t="s">
        <v>55</v>
      </c>
      <c r="D13" s="5"/>
      <c r="E13" s="4"/>
      <c r="F13" s="14">
        <v>3</v>
      </c>
      <c r="G13" s="6">
        <f t="shared" si="0"/>
        <v>-3</v>
      </c>
      <c r="H13" s="7"/>
      <c r="I13" s="8"/>
      <c r="J13" s="9">
        <v>46043</v>
      </c>
      <c r="K13" s="4" t="s">
        <v>116</v>
      </c>
      <c r="L13" s="11"/>
    </row>
    <row r="14" spans="1:12" ht="28.5" x14ac:dyDescent="0.25">
      <c r="A14" s="4">
        <v>12</v>
      </c>
      <c r="B14" s="10">
        <v>908371014</v>
      </c>
      <c r="C14" s="11" t="s">
        <v>76</v>
      </c>
      <c r="D14" s="5">
        <v>29013980</v>
      </c>
      <c r="E14" s="4">
        <v>3</v>
      </c>
      <c r="F14" s="14">
        <v>3</v>
      </c>
      <c r="G14" s="6">
        <f t="shared" si="0"/>
        <v>0</v>
      </c>
      <c r="H14" s="7">
        <v>46134</v>
      </c>
      <c r="I14" s="8" t="s">
        <v>13</v>
      </c>
      <c r="J14" s="9">
        <v>46136</v>
      </c>
      <c r="K14" s="4" t="s">
        <v>116</v>
      </c>
      <c r="L14" s="11"/>
    </row>
    <row r="15" spans="1:12" ht="28.5" x14ac:dyDescent="0.25">
      <c r="A15" s="4">
        <v>13</v>
      </c>
      <c r="B15" s="10">
        <v>908402208</v>
      </c>
      <c r="C15" s="11" t="s">
        <v>58</v>
      </c>
      <c r="D15" s="5">
        <v>29013980</v>
      </c>
      <c r="E15" s="4">
        <v>3</v>
      </c>
      <c r="F15" s="14">
        <v>3</v>
      </c>
      <c r="G15" s="6">
        <f t="shared" si="0"/>
        <v>0</v>
      </c>
      <c r="H15" s="7">
        <v>46134</v>
      </c>
      <c r="I15" s="8" t="s">
        <v>13</v>
      </c>
      <c r="J15" s="9">
        <v>46136</v>
      </c>
      <c r="K15" s="4" t="s">
        <v>116</v>
      </c>
      <c r="L15" s="11"/>
    </row>
    <row r="16" spans="1:12" ht="28.5" x14ac:dyDescent="0.25">
      <c r="A16" s="4">
        <v>14</v>
      </c>
      <c r="B16" s="10">
        <v>908421025</v>
      </c>
      <c r="C16" s="11" t="s">
        <v>59</v>
      </c>
      <c r="D16" s="5">
        <v>29013980</v>
      </c>
      <c r="E16" s="4">
        <v>3</v>
      </c>
      <c r="F16" s="14">
        <v>3</v>
      </c>
      <c r="G16" s="6">
        <f t="shared" si="0"/>
        <v>0</v>
      </c>
      <c r="H16" s="7">
        <v>46134</v>
      </c>
      <c r="I16" s="8" t="s">
        <v>13</v>
      </c>
      <c r="J16" s="9">
        <v>46136</v>
      </c>
      <c r="K16" s="4" t="s">
        <v>116</v>
      </c>
      <c r="L16" s="11"/>
    </row>
    <row r="17" spans="1:12" ht="28.5" x14ac:dyDescent="0.25">
      <c r="A17" s="4">
        <v>15</v>
      </c>
      <c r="B17" s="10">
        <v>908202189</v>
      </c>
      <c r="C17" s="11" t="s">
        <v>18</v>
      </c>
      <c r="D17" s="5">
        <v>29013980</v>
      </c>
      <c r="E17" s="4">
        <v>3</v>
      </c>
      <c r="F17" s="14">
        <v>3</v>
      </c>
      <c r="G17" s="6">
        <f t="shared" si="0"/>
        <v>0</v>
      </c>
      <c r="H17" s="7">
        <v>46134</v>
      </c>
      <c r="I17" s="8" t="s">
        <v>13</v>
      </c>
      <c r="J17" s="9">
        <v>46136</v>
      </c>
      <c r="K17" s="4" t="s">
        <v>116</v>
      </c>
      <c r="L17" s="11"/>
    </row>
  </sheetData>
  <mergeCells count="1">
    <mergeCell ref="A1:L1"/>
  </mergeCells>
  <pageMargins left="0.7" right="0.7" top="0.75" bottom="0.75" header="0.3" footer="0.3"/>
  <pageSetup scale="27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8202-E406-4157-9568-380787B5F434}">
  <dimension ref="A1"/>
  <sheetViews>
    <sheetView workbookViewId="0">
      <selection activeCell="O27" sqref="O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263021880</vt:lpstr>
      <vt:lpstr>263024207</vt:lpstr>
      <vt:lpstr>253107226</vt:lpstr>
      <vt:lpstr>263022070</vt:lpstr>
      <vt:lpstr>263022543</vt:lpstr>
      <vt:lpstr>263022537</vt:lpstr>
      <vt:lpstr>223015469</vt:lpstr>
      <vt:lpstr>263022073</vt:lpstr>
      <vt:lpstr>263011939</vt:lpstr>
      <vt:lpstr>263018938</vt:lpstr>
      <vt:lpstr>253087667</vt:lpstr>
      <vt:lpstr>253077642</vt:lpstr>
      <vt:lpstr>243144292</vt:lpstr>
      <vt:lpstr>233080750</vt:lpstr>
      <vt:lpstr>233014504</vt:lpstr>
      <vt:lpstr>263018066</vt:lpstr>
      <vt:lpstr>253036843</vt:lpstr>
      <vt:lpstr>253108613</vt:lpstr>
      <vt:lpstr>213044258</vt:lpstr>
      <vt:lpstr>263011617</vt:lpstr>
      <vt:lpstr>263004224</vt:lpstr>
      <vt:lpstr>263008665</vt:lpstr>
      <vt:lpstr>243035191</vt:lpstr>
      <vt:lpstr>263014269</vt:lpstr>
      <vt:lpstr>263014264</vt:lpstr>
      <vt:lpstr>263014838</vt:lpstr>
      <vt:lpstr>243139816</vt:lpstr>
      <vt:lpstr>253010429</vt:lpstr>
      <vt:lpstr>263007745</vt:lpstr>
      <vt:lpstr>263010814</vt:lpstr>
      <vt:lpstr>253025231</vt:lpstr>
      <vt:lpstr>263010938</vt:lpstr>
      <vt:lpstr>263009588</vt:lpstr>
      <vt:lpstr>253011070</vt:lpstr>
      <vt:lpstr>243057224</vt:lpstr>
      <vt:lpstr>253010514</vt:lpstr>
      <vt:lpstr>263010838</vt:lpstr>
      <vt:lpstr>253114372</vt:lpstr>
      <vt:lpstr>263000934</vt:lpstr>
      <vt:lpstr>263009498</vt:lpstr>
      <vt:lpstr>233048773</vt:lpstr>
      <vt:lpstr>263001494</vt:lpstr>
      <vt:lpstr>263003403</vt:lpstr>
      <vt:lpstr>253111632</vt:lpstr>
      <vt:lpstr>263004982</vt:lpstr>
      <vt:lpstr>253012149</vt:lpstr>
      <vt:lpstr>253073786</vt:lpstr>
      <vt:lpstr>253104191</vt:lpstr>
      <vt:lpstr>263002669</vt:lpstr>
      <vt:lpstr>253115670</vt:lpstr>
      <vt:lpstr>253017357</vt:lpstr>
      <vt:lpstr>253112381</vt:lpstr>
      <vt:lpstr>253031580</vt:lpstr>
      <vt:lpstr>253070947</vt:lpstr>
      <vt:lpstr>263003969</vt:lpstr>
      <vt:lpstr>243130645</vt:lpstr>
      <vt:lpstr>243000104</vt:lpstr>
      <vt:lpstr>253105906</vt:lpstr>
      <vt:lpstr>263001737</vt:lpstr>
      <vt:lpstr>253105792</vt:lpstr>
      <vt:lpstr>233014536</vt:lpstr>
      <vt:lpstr>253113537</vt:lpstr>
      <vt:lpstr>243130960</vt:lpstr>
      <vt:lpstr>253084458</vt:lpstr>
      <vt:lpstr>253032044</vt:lpstr>
      <vt:lpstr>253033351</vt:lpstr>
      <vt:lpstr>253089846</vt:lpstr>
      <vt:lpstr>25112092</vt:lpstr>
      <vt:lpstr>253007101</vt:lpstr>
      <vt:lpstr>253010005</vt:lpstr>
      <vt:lpstr>243144111</vt:lpstr>
      <vt:lpstr>253009776</vt:lpstr>
      <vt:lpstr>253105843</vt:lpstr>
      <vt:lpstr>213040142</vt:lpstr>
      <vt:lpstr>253110291</vt:lpstr>
      <vt:lpstr>253019048</vt:lpstr>
      <vt:lpstr>253111379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Khonaini SEC Store</dc:creator>
  <cp:lastModifiedBy>USER</cp:lastModifiedBy>
  <cp:lastPrinted>2026-01-18T08:00:59Z</cp:lastPrinted>
  <dcterms:created xsi:type="dcterms:W3CDTF">2025-01-21T05:43:11Z</dcterms:created>
  <dcterms:modified xsi:type="dcterms:W3CDTF">2026-04-30T13:12:04Z</dcterms:modified>
</cp:coreProperties>
</file>