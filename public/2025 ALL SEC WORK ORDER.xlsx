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300710" sheetId="1" r:id="rId4"/>
    <sheet state="visible" name="253105906" sheetId="2" r:id="rId5"/>
    <sheet state="visible" name="253010514" sheetId="3" r:id="rId6"/>
    <sheet state="visible" name="253012149" sheetId="4" r:id="rId7"/>
    <sheet state="visible" name="253062930" sheetId="5" r:id="rId8"/>
    <sheet state="visible" name="253070947" sheetId="6" r:id="rId9"/>
    <sheet state="visible" name="253091264" sheetId="7" r:id="rId10"/>
    <sheet state="visible" name="253083786" sheetId="8" r:id="rId11"/>
    <sheet state="visible" name="243130645" sheetId="9" r:id="rId12"/>
    <sheet state="visible" name="253098648" sheetId="10" r:id="rId13"/>
    <sheet state="visible" name="253021114" sheetId="11" r:id="rId14"/>
    <sheet state="visible" name="253075954" sheetId="12" r:id="rId15"/>
    <sheet state="visible" name="243040020" sheetId="13" r:id="rId16"/>
    <sheet state="visible" name="253011070" sheetId="14" r:id="rId17"/>
    <sheet state="visible" name="253011300" sheetId="15" r:id="rId18"/>
    <sheet state="visible" name="253006629" sheetId="16" r:id="rId19"/>
    <sheet state="visible" name="253070014" sheetId="17" r:id="rId20"/>
    <sheet state="visible" name="253089846" sheetId="18" r:id="rId21"/>
    <sheet state="visible" name="253070525" sheetId="19" r:id="rId22"/>
    <sheet state="visible" name="223056616" sheetId="20" r:id="rId23"/>
    <sheet state="visible" name="253017357" sheetId="21" r:id="rId24"/>
    <sheet state="visible" name="253031580" sheetId="22" r:id="rId25"/>
    <sheet state="visible" name="243035191" sheetId="23" r:id="rId26"/>
    <sheet state="visible" name="253009776" sheetId="24" r:id="rId27"/>
    <sheet state="visible" name="253078522" sheetId="25" r:id="rId28"/>
    <sheet state="visible" name="243045014" sheetId="26" r:id="rId29"/>
    <sheet state="visible" name="253070951" sheetId="27" r:id="rId30"/>
    <sheet state="visible" name="253085184" sheetId="28" r:id="rId31"/>
    <sheet state="visible" name="253073020" sheetId="29" r:id="rId32"/>
    <sheet state="visible" name="253072645" sheetId="30" r:id="rId33"/>
    <sheet state="visible" name="203039965" sheetId="31" r:id="rId34"/>
    <sheet state="visible" name="243138124" sheetId="32" r:id="rId35"/>
    <sheet state="visible" name="253076674" sheetId="33" r:id="rId36"/>
    <sheet state="visible" name="233048773" sheetId="34" r:id="rId37"/>
    <sheet state="visible" name="253030749" sheetId="35" r:id="rId38"/>
    <sheet state="visible" name="253014243" sheetId="36" r:id="rId39"/>
    <sheet state="visible" name="253072057" sheetId="37" r:id="rId40"/>
    <sheet state="visible" name="243130960" sheetId="38" r:id="rId41"/>
    <sheet state="visible" name="243132022" sheetId="39" r:id="rId42"/>
    <sheet state="visible" name="253073354" sheetId="40" r:id="rId43"/>
    <sheet state="visible" name="253059062" sheetId="41" r:id="rId44"/>
    <sheet state="visible" name="253019042" sheetId="42" r:id="rId45"/>
    <sheet state="visible" name="253063680" sheetId="43" r:id="rId46"/>
    <sheet state="visible" name="253073684" sheetId="44" r:id="rId47"/>
    <sheet state="visible" name="253063678" sheetId="45" r:id="rId48"/>
    <sheet state="visible" name="253040124" sheetId="46" r:id="rId49"/>
    <sheet state="visible" name="253064953" sheetId="47" r:id="rId50"/>
    <sheet state="visible" name="253014461" sheetId="48" r:id="rId51"/>
    <sheet state="visible" name="421698130" sheetId="49" r:id="rId52"/>
    <sheet state="visible" name="253036505" sheetId="50" r:id="rId53"/>
    <sheet state="visible" name="253066025" sheetId="51" r:id="rId54"/>
    <sheet state="visible" name="253064654" sheetId="52" r:id="rId55"/>
    <sheet state="visible" name="253058167" sheetId="53" r:id="rId56"/>
    <sheet state="visible" name="253031557" sheetId="54" r:id="rId57"/>
    <sheet state="visible" name="253014414" sheetId="55" r:id="rId58"/>
    <sheet state="visible" name="243144116" sheetId="56" r:id="rId59"/>
    <sheet state="visible" name="253000834" sheetId="57" r:id="rId60"/>
    <sheet state="visible" name="233005371" sheetId="58" r:id="rId61"/>
    <sheet state="visible" name="253060760" sheetId="59" r:id="rId62"/>
    <sheet state="visible" name="253007453" sheetId="60" r:id="rId63"/>
    <sheet state="visible" name="253044240" sheetId="61" r:id="rId64"/>
    <sheet state="visible" name="253008910" sheetId="62" r:id="rId65"/>
    <sheet state="visible" name="253043858" sheetId="63" r:id="rId66"/>
    <sheet state="visible" name="213016093" sheetId="64" r:id="rId67"/>
    <sheet state="visible" name="253014452" sheetId="65" r:id="rId68"/>
    <sheet state="visible" name="253030667" sheetId="66" r:id="rId69"/>
    <sheet state="visible" name="253044437" sheetId="67" r:id="rId70"/>
    <sheet state="visible" name="253014949" sheetId="68" r:id="rId71"/>
    <sheet state="visible" name="233071093" sheetId="69" r:id="rId72"/>
    <sheet state="visible" name="243140760" sheetId="70" r:id="rId73"/>
    <sheet state="visible" name="253029626" sheetId="71" r:id="rId74"/>
    <sheet state="visible" name="243101465" sheetId="72" r:id="rId75"/>
    <sheet state="visible" name="253043752" sheetId="73" r:id="rId76"/>
    <sheet state="visible" name="253031554" sheetId="74" r:id="rId77"/>
    <sheet state="visible" name="253008473" sheetId="75" r:id="rId78"/>
    <sheet state="visible" name="243131700" sheetId="76" r:id="rId79"/>
    <sheet state="visible" name="253033015" sheetId="77" r:id="rId80"/>
    <sheet state="visible" name="253008295" sheetId="78" r:id="rId81"/>
    <sheet state="visible" name="253008596" sheetId="79" r:id="rId82"/>
    <sheet state="visible" name="253026675" sheetId="80" r:id="rId83"/>
    <sheet state="visible" name="253038873" sheetId="81" r:id="rId84"/>
    <sheet state="visible" name="253008367" sheetId="82" r:id="rId85"/>
    <sheet state="visible" name="253045395" sheetId="83" r:id="rId86"/>
    <sheet state="visible" name="253017794" sheetId="84" r:id="rId87"/>
    <sheet state="visible" name="253035252" sheetId="85" r:id="rId88"/>
    <sheet state="visible" name="253040833" sheetId="86" r:id="rId89"/>
    <sheet state="visible" name="243000104" sheetId="87" r:id="rId90"/>
    <sheet state="visible" name="213031463" sheetId="88" r:id="rId91"/>
    <sheet state="visible" name="253031976" sheetId="89" r:id="rId92"/>
    <sheet state="visible" name="243042746" sheetId="90" r:id="rId93"/>
    <sheet state="visible" name="253013589" sheetId="91" r:id="rId94"/>
    <sheet state="visible" name="253040723" sheetId="92" r:id="rId95"/>
    <sheet state="visible" name="253023280" sheetId="93" r:id="rId96"/>
    <sheet state="visible" name="253031108" sheetId="94" r:id="rId97"/>
    <sheet state="visible" name="253025026" sheetId="95" r:id="rId98"/>
    <sheet state="visible" name="243127905" sheetId="96" r:id="rId99"/>
    <sheet state="visible" name="243130702" sheetId="97" r:id="rId100"/>
    <sheet state="visible" name="243141212" sheetId="98" r:id="rId101"/>
    <sheet state="visible" name="253021097" sheetId="99" r:id="rId102"/>
    <sheet state="visible" name="243128145" sheetId="100" r:id="rId103"/>
    <sheet state="visible" name="253007065" sheetId="101" r:id="rId104"/>
    <sheet state="visible" name="243137775" sheetId="102" r:id="rId105"/>
    <sheet state="visible" name="253023780" sheetId="103" r:id="rId106"/>
    <sheet state="visible" name="253023658" sheetId="104" r:id="rId107"/>
    <sheet state="visible" name="243020059" sheetId="105" r:id="rId108"/>
    <sheet state="visible" name="253008111" sheetId="106" r:id="rId109"/>
    <sheet state="visible" name="253016920" sheetId="107" r:id="rId110"/>
    <sheet state="visible" name="253019304" sheetId="108" r:id="rId111"/>
    <sheet state="visible" name="253020217" sheetId="109" r:id="rId112"/>
    <sheet state="visible" name="243015882" sheetId="110" r:id="rId113"/>
    <sheet state="visible" name="243121315" sheetId="111" r:id="rId114"/>
    <sheet state="visible" name="253026859" sheetId="112" r:id="rId115"/>
    <sheet state="visible" name="243138608" sheetId="113" r:id="rId116"/>
    <sheet state="visible" name="243136871" sheetId="114" r:id="rId117"/>
    <sheet state="visible" name="243121088" sheetId="115" r:id="rId118"/>
    <sheet state="visible" name="253008093" sheetId="116" r:id="rId119"/>
    <sheet state="visible" name="243076489" sheetId="117" r:id="rId120"/>
    <sheet state="visible" name="253009370" sheetId="118" r:id="rId121"/>
    <sheet state="visible" name="253019134" sheetId="119" r:id="rId122"/>
    <sheet state="visible" name="253019247" sheetId="120" r:id="rId123"/>
    <sheet state="visible" name="243005030" sheetId="121" r:id="rId124"/>
    <sheet state="visible" name="243086699" sheetId="122" r:id="rId125"/>
    <sheet state="visible" name="243141206" sheetId="123" r:id="rId126"/>
    <sheet state="visible" name="243066155" sheetId="124" r:id="rId127"/>
    <sheet state="visible" name="243136508" sheetId="125" r:id="rId128"/>
    <sheet state="visible" name="243069003" sheetId="126" r:id="rId129"/>
    <sheet state="visible" name="243027913" sheetId="127" r:id="rId130"/>
    <sheet state="visible" name="243130525" sheetId="128" r:id="rId131"/>
    <sheet state="visible" name="253008576" sheetId="129" r:id="rId132"/>
    <sheet state="visible" name="243144429" sheetId="130" r:id="rId133"/>
    <sheet state="visible" name="243079858" sheetId="131" r:id="rId134"/>
    <sheet state="visible" name="243090450" sheetId="132" r:id="rId135"/>
    <sheet state="visible" name="253012124" sheetId="133" r:id="rId136"/>
    <sheet state="visible" name="253012620" sheetId="134" r:id="rId137"/>
    <sheet state="visible" name="173044984" sheetId="135" r:id="rId138"/>
    <sheet state="visible" name="243125658" sheetId="136" r:id="rId139"/>
    <sheet state="visible" name="223066421" sheetId="137" r:id="rId140"/>
    <sheet state="visible" name="243139186" sheetId="138" r:id="rId141"/>
    <sheet state="visible" name="243040738" sheetId="139" r:id="rId142"/>
    <sheet state="visible" name="243141375" sheetId="140" r:id="rId143"/>
    <sheet state="visible" name="223011460" sheetId="141" r:id="rId144"/>
    <sheet state="visible" name="213045775" sheetId="142" r:id="rId145"/>
    <sheet state="visible" name="243078875" sheetId="143" r:id="rId146"/>
    <sheet state="visible" name="243097728" sheetId="144" r:id="rId147"/>
    <sheet state="visible" name="243075419" sheetId="145" r:id="rId148"/>
    <sheet state="visible" name="243093534" sheetId="146" r:id="rId149"/>
    <sheet state="visible" name="243093573" sheetId="147" r:id="rId150"/>
    <sheet state="visible" name="243039104" sheetId="148" r:id="rId151"/>
    <sheet state="visible" name="213018671" sheetId="149" r:id="rId152"/>
  </sheets>
  <definedNames/>
  <calcPr/>
  <extLst>
    <ext uri="GoogleSheetsCustomDataVersion2">
      <go:sheetsCustomData xmlns:go="http://customooxmlschemas.google.com/" r:id="rId153" roundtripDataChecksum="zhyI1l0m3fWMeae6ThNov2cEUl4BZ029ndeEJEw+kqo="/>
    </ext>
  </extLst>
</workbook>
</file>

<file path=xl/sharedStrings.xml><?xml version="1.0" encoding="utf-8"?>
<sst xmlns="http://schemas.openxmlformats.org/spreadsheetml/2006/main" count="9042" uniqueCount="800">
  <si>
    <t>W/O 25300710</t>
  </si>
  <si>
    <t>S/R #</t>
  </si>
  <si>
    <t>SEC</t>
  </si>
  <si>
    <t>MATERIAL DESCRIPTION</t>
  </si>
  <si>
    <t>RESERVATION</t>
  </si>
  <si>
    <t>RECEIVE QTY</t>
  </si>
  <si>
    <t>QTY USE</t>
  </si>
  <si>
    <t>BALANCE</t>
  </si>
  <si>
    <t>DATE RECEIVED</t>
  </si>
  <si>
    <t xml:space="preserve">MATERIALMAN </t>
  </si>
  <si>
    <t>DATE WITHDRAW</t>
  </si>
  <si>
    <t>FOREMAN NAME</t>
  </si>
  <si>
    <t>REMARKS</t>
  </si>
  <si>
    <t>LOCK PAD</t>
  </si>
  <si>
    <t>MIZAN</t>
  </si>
  <si>
    <t>PILLAR,STL,LV,400A,5WAY,W/O BASE,BEIGE</t>
  </si>
  <si>
    <t>HUSSAON</t>
  </si>
  <si>
    <t>TERM 4X70</t>
  </si>
  <si>
    <t>TERM KIT,STR,1KV,4X300MM2,AL</t>
  </si>
  <si>
    <t>LUG 35 CU</t>
  </si>
  <si>
    <t>908202054</t>
  </si>
  <si>
    <t>ROD,GROUND,16 MM DIA X 2400 MM LG,COPPER</t>
  </si>
  <si>
    <t>G CLAMP</t>
  </si>
  <si>
    <t>BT LUG 300</t>
  </si>
  <si>
    <t>GROUND WIRE 35 CU</t>
  </si>
  <si>
    <t>908111005</t>
  </si>
  <si>
    <t>CABLE,PWR,600V/1KV,AL,4C,70MM2,XLPE</t>
  </si>
  <si>
    <t>908111007</t>
  </si>
  <si>
    <t>CABLE,PWR,600V/1KV,AL,4C,300MM2,XLPE</t>
  </si>
  <si>
    <t>W/O 253105906</t>
  </si>
  <si>
    <t xml:space="preserve">MIZAN </t>
  </si>
  <si>
    <t>W/O 253010514</t>
  </si>
  <si>
    <t>W/O 253012149</t>
  </si>
  <si>
    <t>MIAZN</t>
  </si>
  <si>
    <t>W/O 253062930</t>
  </si>
  <si>
    <t>908122034</t>
  </si>
  <si>
    <t>CONN,ELEC,TERM,CU,70SQMM CNDCTR</t>
  </si>
  <si>
    <t>SHAID</t>
  </si>
  <si>
    <t>LUG 1X85 CU</t>
  </si>
  <si>
    <t>SING SAFTY  DANGER</t>
  </si>
  <si>
    <t>905702039 300103969</t>
  </si>
  <si>
    <t>PLUG, INSULATING, DEADEND,100MM</t>
  </si>
  <si>
    <t>SPRING TORSION, 1-3/4 IN, 1-3/4 IN OD,#EPP</t>
  </si>
  <si>
    <t xml:space="preserve">SING IDENTIGICATION </t>
  </si>
  <si>
    <t>905711522 300524514</t>
  </si>
  <si>
    <t>CONN,ELEC,EL,DEADBREAK#755BRL</t>
  </si>
  <si>
    <t>905727976 301271318</t>
  </si>
  <si>
    <t>ADAPTER,CABLE ,SPLICE,35KV 600A</t>
  </si>
  <si>
    <t>CONN,ELEC,TERM,AL CNDCTR</t>
  </si>
  <si>
    <t>CONN,ELEC,TERM,AL 500MCM CNDCTR</t>
  </si>
  <si>
    <t>STUD,DBL ENDED 2-5/8 DIA</t>
  </si>
  <si>
    <t>SWITCHGEAR METAL ENCLOSED RMU O/D (2)</t>
  </si>
  <si>
    <t>905835838 309005918</t>
  </si>
  <si>
    <t>CONN,ELEC,EL DEADBREAK,#DT436</t>
  </si>
  <si>
    <t>TFMR,PD 1.5MVA 34.5KX</t>
  </si>
  <si>
    <t xml:space="preserve">C CLAMP </t>
  </si>
  <si>
    <t>CABLE 1X85 CU</t>
  </si>
  <si>
    <t>CABLE 1X95 CU</t>
  </si>
  <si>
    <t>GROWNG WIRE 70</t>
  </si>
  <si>
    <t>TFMR,CT,LV3000/5A</t>
  </si>
  <si>
    <t>CABLE CNTRL CU 12 CORE</t>
  </si>
  <si>
    <t xml:space="preserve">TFMR 1000KV </t>
  </si>
  <si>
    <t>W/O 253070947</t>
  </si>
  <si>
    <t>MOSHRAF</t>
  </si>
  <si>
    <t>TFMR,U/S,1MVA,13.8KV</t>
  </si>
  <si>
    <t>TERM KIT 4X185AL</t>
  </si>
  <si>
    <t>CONN,ELEC,EL,DB</t>
  </si>
  <si>
    <t>JOINT KIT 3X500</t>
  </si>
  <si>
    <t>11/02/2026 18/02/2026</t>
  </si>
  <si>
    <t>CABLE,PWR,15KV,AL,3X500/35MM2,XLPE/LLDPE</t>
  </si>
  <si>
    <t>CABLE,ELEC,AL,XLPE3X70SQMM,3C</t>
  </si>
  <si>
    <t>CABLE 4X185 AL</t>
  </si>
  <si>
    <t>JOINT KIT,TRANS,PM,15KV,300-500/35MM2,BM</t>
  </si>
  <si>
    <t>CABLE SCRAP</t>
  </si>
  <si>
    <t>W/O 253091264</t>
  </si>
  <si>
    <t>JOINT KIT 4X300</t>
  </si>
  <si>
    <t xml:space="preserve">MUKESH </t>
  </si>
  <si>
    <t xml:space="preserve">EMERGENCY </t>
  </si>
  <si>
    <t>LUG 300 CU</t>
  </si>
  <si>
    <t>LUG 300 AL</t>
  </si>
  <si>
    <t>LUG 70 AL</t>
  </si>
  <si>
    <t>CB 100A</t>
  </si>
  <si>
    <t>KWH 1.5(6)</t>
  </si>
  <si>
    <t>TFMR,CT 1500/5A</t>
  </si>
  <si>
    <t xml:space="preserve">RETURN TO JIC </t>
  </si>
  <si>
    <t xml:space="preserve">RMT BOX </t>
  </si>
  <si>
    <t>CABLE,CNTRL,750V,CU,2CORE,2.5SQMM,PVC</t>
  </si>
  <si>
    <t>LUG 95CU</t>
  </si>
  <si>
    <t>REMOVAL MATERIAL</t>
  </si>
  <si>
    <t>DATE</t>
  </si>
  <si>
    <t>CB 400A</t>
  </si>
  <si>
    <t>CB 30A</t>
  </si>
  <si>
    <t>CABLE 185</t>
  </si>
  <si>
    <t>5m</t>
  </si>
  <si>
    <t xml:space="preserve">bus bar </t>
  </si>
  <si>
    <t>C M BOX</t>
  </si>
  <si>
    <t>W/O 253083786</t>
  </si>
  <si>
    <t>23/12/2025 12/02/2026</t>
  </si>
  <si>
    <t>CONNECTOR LUG 50 CU</t>
  </si>
  <si>
    <t>W/O 243130645</t>
  </si>
  <si>
    <t>21/12/2025 06/01/2026</t>
  </si>
  <si>
    <t>W/O 253098648</t>
  </si>
  <si>
    <t>23/12/2025 05/01/2026</t>
  </si>
  <si>
    <t>908312001</t>
  </si>
  <si>
    <t>PILLAR,DIST,LV,400A,800X310X830MM</t>
  </si>
  <si>
    <t>W/O 253021114</t>
  </si>
  <si>
    <t>28177911 28345080</t>
  </si>
  <si>
    <t>07/12/2025 05/01/2026</t>
  </si>
  <si>
    <t>11/12/2025 05/01/20226</t>
  </si>
  <si>
    <t>18/12/2025 07/01/2026</t>
  </si>
  <si>
    <t>21/12/2025 08/01/2026</t>
  </si>
  <si>
    <t>KWA 100A</t>
  </si>
  <si>
    <t>SINGLE M, BOX STEEL</t>
  </si>
  <si>
    <t>CB 70A</t>
  </si>
  <si>
    <t>W/O 253075954</t>
  </si>
  <si>
    <t>08/12/2025 27/12/2025</t>
  </si>
  <si>
    <t>28127741 28295061</t>
  </si>
  <si>
    <t>11/12/2025 30/12/2025</t>
  </si>
  <si>
    <t>08/12/2025 01/01/2025</t>
  </si>
  <si>
    <t>07/12/2025 30/12/2025</t>
  </si>
  <si>
    <t>08/12/2025 01/01/2026</t>
  </si>
  <si>
    <t>CB 50A</t>
  </si>
  <si>
    <t>2 CUST BOX</t>
  </si>
  <si>
    <t>30/12/2025 31/12/2025</t>
  </si>
  <si>
    <t>W/O 243040020</t>
  </si>
  <si>
    <t>CT COIL 250A</t>
  </si>
  <si>
    <t>908375004</t>
  </si>
  <si>
    <t>BREAKER:ECB 250A,400/230/133V,3P,RJ45</t>
  </si>
  <si>
    <t>CONNECTOR LUG 300MM2</t>
  </si>
  <si>
    <t>C.M BOX</t>
  </si>
  <si>
    <t>LUG 185 CU</t>
  </si>
  <si>
    <t>W/O 253011070</t>
  </si>
  <si>
    <t>W/O 253011300</t>
  </si>
  <si>
    <t>03/12/2025 10/12/2025</t>
  </si>
  <si>
    <t>28119020 28234233</t>
  </si>
  <si>
    <t>11/12/2025 16/12/2025</t>
  </si>
  <si>
    <t>03/12/2025 18/12/2025</t>
  </si>
  <si>
    <t>07/12/2025 21/12/2025</t>
  </si>
  <si>
    <t>W/O 253006629</t>
  </si>
  <si>
    <t>27798813 28377259</t>
  </si>
  <si>
    <t>26/11/2025 11/01/2026</t>
  </si>
  <si>
    <t>26/11/2025 14/01/2026</t>
  </si>
  <si>
    <t>03/12/2025 04/12/2025</t>
  </si>
  <si>
    <t>03/12/2025 13/01/2026</t>
  </si>
  <si>
    <t>04/12/2025 13/01/2026</t>
  </si>
  <si>
    <t>GROUND WIRE 70 CU</t>
  </si>
  <si>
    <t>03/12/2025 04/12/2025 13/01/2026</t>
  </si>
  <si>
    <t>908321135 908321106</t>
  </si>
  <si>
    <t>3 WAY RMU 13.8KV 400A</t>
  </si>
  <si>
    <t>TFMR,U/S,1MVA,13.8KV,400/230V,8CK,6MCCB</t>
  </si>
  <si>
    <t>CB 40A</t>
  </si>
  <si>
    <t>DOUBLE  M,BOX</t>
  </si>
  <si>
    <t>SCRAP</t>
  </si>
  <si>
    <t>W/O 253070014</t>
  </si>
  <si>
    <t>10/02/2026 02/04/2026</t>
  </si>
  <si>
    <t xml:space="preserve">CONN,ELEC SLV  500, BUTT,CU BODY CNDCTR </t>
  </si>
  <si>
    <t>RMU METERED,SF6 34.5KV</t>
  </si>
  <si>
    <t>METER 1.5(6)A</t>
  </si>
  <si>
    <t>SPLICING KIT 36KV</t>
  </si>
  <si>
    <t>LOCK,CYLINDER,BRS 17WDX</t>
  </si>
  <si>
    <t>BOX,M,1CUST OD ,RMT</t>
  </si>
  <si>
    <t>INDICATOR,FAULT,400A MAX CC</t>
  </si>
  <si>
    <t>CONNECTER LUG,500 CU</t>
  </si>
  <si>
    <t>TERM KIT SHRINK INDOOR</t>
  </si>
  <si>
    <t>907100712 309005920</t>
  </si>
  <si>
    <t>CONN,ELEC,EL DEADBREAK,#DT436T</t>
  </si>
  <si>
    <t>BOOT, INSUL CABLE,BUSHING</t>
  </si>
  <si>
    <t>SLV,185 CU</t>
  </si>
  <si>
    <t>GROUND WIRE 70CU</t>
  </si>
  <si>
    <t>CABLE PWR,600/1KV,1C,85MM2</t>
  </si>
  <si>
    <t>07/12/2025 23/12/2025</t>
  </si>
  <si>
    <t>CABLE,ELEC,CU,XLPE,500SQMM,1,#MDR350500</t>
  </si>
  <si>
    <t>15/12/2025 16/12/2025 17/12/2025 23/12/2025</t>
  </si>
  <si>
    <t>02/02/2026 03/02/2026 04/02/2026</t>
  </si>
  <si>
    <t>CABLE,CNTRL,750V,CU,12CORE,2.5SQMM,PVC</t>
  </si>
  <si>
    <t>CONNECTOR LUG 240 CU</t>
  </si>
  <si>
    <t>N/A</t>
  </si>
  <si>
    <t>RABBER TAPE</t>
  </si>
  <si>
    <t>06/02/2026 23/02/2026 02/04/2026</t>
  </si>
  <si>
    <t>DRUM NO</t>
  </si>
  <si>
    <t>USO03348</t>
  </si>
  <si>
    <t>723030782 /</t>
  </si>
  <si>
    <t>35932/23</t>
  </si>
  <si>
    <t>35902/23</t>
  </si>
  <si>
    <t>35937/23</t>
  </si>
  <si>
    <t>80990/23</t>
  </si>
  <si>
    <t>HW73372</t>
  </si>
  <si>
    <t>12650/25</t>
  </si>
  <si>
    <t xml:space="preserve">CABLE SCRAP 1X500 </t>
  </si>
  <si>
    <t xml:space="preserve">DATE </t>
  </si>
  <si>
    <t>CABLE SCRAP 1X85</t>
  </si>
  <si>
    <t>W/O 253089846</t>
  </si>
  <si>
    <t>20/12/2025 24/12/2025</t>
  </si>
  <si>
    <t>17/12/2025 24/12/2025</t>
  </si>
  <si>
    <t>24/12/2025 08/01/2026</t>
  </si>
  <si>
    <t>CONNECTOR LUG,300MM2 AL BLT</t>
  </si>
  <si>
    <t>28099408 28379685</t>
  </si>
  <si>
    <t>25/11/2025 02/04/2026</t>
  </si>
  <si>
    <t>28099408 28396733</t>
  </si>
  <si>
    <t>25/11/2025 14/01/2026</t>
  </si>
  <si>
    <t>24/11/2025 05/04/2026</t>
  </si>
  <si>
    <t>RMU 3WAY</t>
  </si>
  <si>
    <t>RECIVE FROM QUICK STEP</t>
  </si>
  <si>
    <t xml:space="preserve">CABLE 3X70 </t>
  </si>
  <si>
    <t>CABLE 3X500 CUT PIC</t>
  </si>
  <si>
    <t>W/O 253070525</t>
  </si>
  <si>
    <t>28099369 28382799</t>
  </si>
  <si>
    <t>24/11/2025 14/01/2026</t>
  </si>
  <si>
    <t>11/12/2025 12/01/2026 13/01/2026</t>
  </si>
  <si>
    <t>27/12/2025 13/01/2026</t>
  </si>
  <si>
    <t>MOSHRAF HUSSAON</t>
  </si>
  <si>
    <t>11/12/2025 12/01/2026</t>
  </si>
  <si>
    <t>W/O 223056616</t>
  </si>
  <si>
    <t>28067486 28335380</t>
  </si>
  <si>
    <t>24/11/2025 05/01/2026</t>
  </si>
  <si>
    <t>30/11/2025 06/12/2025</t>
  </si>
  <si>
    <t>11/12/2025 08/01/2026</t>
  </si>
  <si>
    <t>30/11/2025 08/01/2026</t>
  </si>
  <si>
    <t>04/01/2026 05/01/2026</t>
  </si>
  <si>
    <t>MCCB750VAC,100A,3P</t>
  </si>
  <si>
    <t>W/O 253017357</t>
  </si>
  <si>
    <t>24/11/2025 27/11/2025</t>
  </si>
  <si>
    <t>W/O 253031580</t>
  </si>
  <si>
    <t>19/11/2025 27/11/2025</t>
  </si>
  <si>
    <t>W/O 243035191</t>
  </si>
  <si>
    <t>01/12/2025 04/12/2025</t>
  </si>
  <si>
    <t>908312001 908312027</t>
  </si>
  <si>
    <t>PILLAR,DIST,LV,400A,800X310X830MM PILLAR,STL,LV,400A,5WAY W/O BASE MM</t>
  </si>
  <si>
    <t>USE FIBER MINI PILLER AND RECIVE STEL MINI PILLER</t>
  </si>
  <si>
    <t>W/O 253009776</t>
  </si>
  <si>
    <t>W/O 253078522</t>
  </si>
  <si>
    <t xml:space="preserve">LUG 300 AL </t>
  </si>
  <si>
    <t>CB 200A</t>
  </si>
  <si>
    <t>CITY COIL 200A</t>
  </si>
  <si>
    <t>METER,ESERV,DIG,CT,133/230/400V,1.5(6)A</t>
  </si>
  <si>
    <t>LUG 120 CU</t>
  </si>
  <si>
    <t>W/O 253045014</t>
  </si>
  <si>
    <t>09/11/2025 16/11/2025</t>
  </si>
  <si>
    <t>19/10/2025 24/11/2025</t>
  </si>
  <si>
    <t>27887474 243045014</t>
  </si>
  <si>
    <t>W/O 253070951</t>
  </si>
  <si>
    <t>W/O 253085184</t>
  </si>
  <si>
    <t>SPLICE KIT CABLE HEAT SHRINK STRAIGHT</t>
  </si>
  <si>
    <t>CONN,ELEC SLV , BUTT,CU BODY CNDCTR</t>
  </si>
  <si>
    <t>19/10/2025 22/10/2025</t>
  </si>
  <si>
    <t xml:space="preserve">LUG 500 CU </t>
  </si>
  <si>
    <t>CB20 A</t>
  </si>
  <si>
    <t xml:space="preserve">METER BOX SINGLE </t>
  </si>
  <si>
    <t>CABLE 2 CORE CU 750V</t>
  </si>
  <si>
    <t>CABLE,ELEC,CU,XLPE,500SQMM,1,#150010T)</t>
  </si>
  <si>
    <t>SWGR SMART RMU 2LBS+2CB 13.8KV 400A</t>
  </si>
  <si>
    <t xml:space="preserve">SPLICE KIT </t>
  </si>
  <si>
    <t>CABLE REMOVAL</t>
  </si>
  <si>
    <t>NEW CUT PIC 1X500</t>
  </si>
  <si>
    <t>REMOVAL CUT PIC 1X95</t>
  </si>
  <si>
    <t>REMOVAL EQUIPMENT</t>
  </si>
  <si>
    <t>SWITCH GAR</t>
  </si>
  <si>
    <t>W/O 253073020</t>
  </si>
  <si>
    <t>15/10/2025 28/10/2025</t>
  </si>
  <si>
    <t>W/O 253072645</t>
  </si>
  <si>
    <t>06/11/2025 15/11/2025</t>
  </si>
  <si>
    <t>27849317 28255946</t>
  </si>
  <si>
    <t>08/10/2025 23/12/2025</t>
  </si>
  <si>
    <t>06/11/2025 24/12/2025</t>
  </si>
  <si>
    <t>09/10/2025 23/12/2025</t>
  </si>
  <si>
    <t>W/O 203039965</t>
  </si>
  <si>
    <t>08/11/2025 15/11/2025</t>
  </si>
  <si>
    <t>W/O 253138124</t>
  </si>
  <si>
    <t>14/10/2025 27/10/2025</t>
  </si>
  <si>
    <t>09/10/2025 24/11/2025</t>
  </si>
  <si>
    <t>DOUBLE M, BOX STEEL</t>
  </si>
  <si>
    <t>W/O 253076674</t>
  </si>
  <si>
    <t>14/10/2025 21/10/2025</t>
  </si>
  <si>
    <t>27811908 28187860</t>
  </si>
  <si>
    <t>09/10/2025 07/12/2025</t>
  </si>
  <si>
    <t>W/O 233048773</t>
  </si>
  <si>
    <t xml:space="preserve">6 PIC GIVE TO NASIR AL HAIDER </t>
  </si>
  <si>
    <t>22/10/2025 17/11/2025</t>
  </si>
  <si>
    <t xml:space="preserve">TERM 3X240,36KV CU </t>
  </si>
  <si>
    <t>CABLE 3X240 CUT PIC</t>
  </si>
  <si>
    <t>CABLE 3X240</t>
  </si>
  <si>
    <t>CABLE 3X240 CUT PIC SINGLE CORE</t>
  </si>
  <si>
    <t>W/O 253030749</t>
  </si>
  <si>
    <t>SURYIA</t>
  </si>
  <si>
    <t>W/O 253014243</t>
  </si>
  <si>
    <t>29/09/2025 21/12/2025</t>
  </si>
  <si>
    <t>16/10/2025 23/10/2025</t>
  </si>
  <si>
    <t>SURYIA HUSSAON</t>
  </si>
  <si>
    <t>27803846 28248755</t>
  </si>
  <si>
    <t>08/10/2025 18/12/2025</t>
  </si>
  <si>
    <t>16/10/2025 20/12/2025</t>
  </si>
  <si>
    <t>GROUND CLAMP</t>
  </si>
  <si>
    <t>JOINT KIT 4X70</t>
  </si>
  <si>
    <t>W/O 253072057</t>
  </si>
  <si>
    <t>HUSSAIN</t>
  </si>
  <si>
    <t>11/10/2025 16/10/2025</t>
  </si>
  <si>
    <t>CABLE 4X300 AL MM2</t>
  </si>
  <si>
    <t>CABLE 4X70 AL MM2</t>
  </si>
  <si>
    <t>GROWNG WIRE 35</t>
  </si>
  <si>
    <t xml:space="preserve">CABLE 4X300 SCRAP </t>
  </si>
  <si>
    <t>W/O 243130960</t>
  </si>
  <si>
    <t>13/10/2025</t>
  </si>
  <si>
    <t>13/10/2025 23/10/2025</t>
  </si>
  <si>
    <t>W/O 243132022</t>
  </si>
  <si>
    <t>01/10/2025 09/10/2025</t>
  </si>
  <si>
    <t>27713115 28230029</t>
  </si>
  <si>
    <t>16/09/2025 16/12/2025</t>
  </si>
  <si>
    <t>01/10/2025 18/12/2025</t>
  </si>
  <si>
    <t>W/O 253073354</t>
  </si>
  <si>
    <t>SWITCH,DISC,500V3 PH 400A</t>
  </si>
  <si>
    <t>TERM KIT 1X85</t>
  </si>
  <si>
    <t>CONNECTOR ,LUG,185 AL</t>
  </si>
  <si>
    <t>CONNECTOR ,LUG,120 CU</t>
  </si>
  <si>
    <t>TFMR CT LV 200/5A</t>
  </si>
  <si>
    <t>CABLE 4X185</t>
  </si>
  <si>
    <t>CT /M BOX</t>
  </si>
  <si>
    <t xml:space="preserve">REMOVAL METRIAL </t>
  </si>
  <si>
    <t>W/O 253059062</t>
  </si>
  <si>
    <t>19/09/2025 29/09/2025</t>
  </si>
  <si>
    <t>W/O 253019042</t>
  </si>
  <si>
    <t xml:space="preserve">JOINT KIT 4X300 AL </t>
  </si>
  <si>
    <t>W/O 253063680</t>
  </si>
  <si>
    <t>14/10/2025 20/11/2025</t>
  </si>
  <si>
    <t>27673124 28118255</t>
  </si>
  <si>
    <t>25/09/2025 24/11/2025</t>
  </si>
  <si>
    <t>SURYIA MOSHRAF</t>
  </si>
  <si>
    <t>07/09/2025 24/11/2025</t>
  </si>
  <si>
    <t>08/10/2025 26/11/2025</t>
  </si>
  <si>
    <t>09/10/2025 26/11/2025 07/12/2025</t>
  </si>
  <si>
    <t>27673124 28516047</t>
  </si>
  <si>
    <t>11/09/2025 02/04/2026</t>
  </si>
  <si>
    <t>08/10/2025 09/10/2025 26/11/2025</t>
  </si>
  <si>
    <t>MOSHRAF SURYIA</t>
  </si>
  <si>
    <t>SINGLE CORE CUT PIC 3X500</t>
  </si>
  <si>
    <t xml:space="preserve">MOSHRAF </t>
  </si>
  <si>
    <t>W/O 253073684</t>
  </si>
  <si>
    <t>W/O 253063678</t>
  </si>
  <si>
    <t>11/09/2025 24/09/2025</t>
  </si>
  <si>
    <t>W/O 253040124</t>
  </si>
  <si>
    <t>09/10/2025 12/11/2025</t>
  </si>
  <si>
    <t>CABLE,PWR,15KV,AL,3X500/35MM</t>
  </si>
  <si>
    <t xml:space="preserve"> </t>
  </si>
  <si>
    <t>MUSHRAF</t>
  </si>
  <si>
    <t>W/O 253064953</t>
  </si>
  <si>
    <t>10/10/2025 15/10/2025</t>
  </si>
  <si>
    <t>W/O 253014461</t>
  </si>
  <si>
    <t>27674771 28118588</t>
  </si>
  <si>
    <t>02/09/2025 24/11/2025</t>
  </si>
  <si>
    <t>04/10/2025 27/11/2025</t>
  </si>
  <si>
    <t>S/R#</t>
  </si>
  <si>
    <t xml:space="preserve">SEC </t>
  </si>
  <si>
    <t>SCRAP RETRUN</t>
  </si>
  <si>
    <t>QTY</t>
  </si>
  <si>
    <t xml:space="preserve">FOURMEN </t>
  </si>
  <si>
    <t xml:space="preserve">HUSSAON </t>
  </si>
  <si>
    <t>W/O 421698130</t>
  </si>
  <si>
    <t>SLV 95CU</t>
  </si>
  <si>
    <t xml:space="preserve">SPLICE KIT 95 </t>
  </si>
  <si>
    <t>W/O 253036505</t>
  </si>
  <si>
    <t>08/09/2025 08/09/2025</t>
  </si>
  <si>
    <t>02/09/2025 27/10/2025</t>
  </si>
  <si>
    <t>27840464 27616160</t>
  </si>
  <si>
    <t>10/7/2025 08/10/2025</t>
  </si>
  <si>
    <t>LUG 35CU</t>
  </si>
  <si>
    <t>CB 50 A</t>
  </si>
  <si>
    <t>CB 70 A</t>
  </si>
  <si>
    <t>W/O 253066025</t>
  </si>
  <si>
    <t>04/09/2025 21/09/2025</t>
  </si>
  <si>
    <t>LUG 50 CU</t>
  </si>
  <si>
    <t>W/O 253064654</t>
  </si>
  <si>
    <t>KWH 100</t>
  </si>
  <si>
    <t>W/O 253058167</t>
  </si>
  <si>
    <t>W/O 253031557</t>
  </si>
  <si>
    <t>26/08/2025 06/09/2025</t>
  </si>
  <si>
    <t>W/O 253014414</t>
  </si>
  <si>
    <t>25/08/2025 02/09/2025</t>
  </si>
  <si>
    <t>W/O 243144116</t>
  </si>
  <si>
    <t>KWH 160A</t>
  </si>
  <si>
    <t>CB 150</t>
  </si>
  <si>
    <t>W/O 253000834</t>
  </si>
  <si>
    <t>RMU,SF6,13.8KV,400A,CB,3WAY,NON-EXT,OTDR</t>
  </si>
  <si>
    <t>W/O 233005371</t>
  </si>
  <si>
    <t>MAKHBOR</t>
  </si>
  <si>
    <t>W/O 253060760</t>
  </si>
  <si>
    <t>24/08/2025 02/09/2025</t>
  </si>
  <si>
    <t>07/08/2025 26/08/2025</t>
  </si>
  <si>
    <t>4 CUST BOX</t>
  </si>
  <si>
    <t>SIGNLE M BOX STEEL</t>
  </si>
  <si>
    <t>W/O 253007453</t>
  </si>
  <si>
    <t>W/O 253044240</t>
  </si>
  <si>
    <t>TERM 4X185 AL</t>
  </si>
  <si>
    <t xml:space="preserve">JOINT KIT 4X185 AL </t>
  </si>
  <si>
    <t>CONNECTOR,LUG ,500SQMM</t>
  </si>
  <si>
    <t xml:space="preserve">CONNECTOR,LUG,185 CU </t>
  </si>
  <si>
    <t>29/09/2025 10/02/2026</t>
  </si>
  <si>
    <t>2 USE IN EMERGENCY</t>
  </si>
  <si>
    <t>CABLE ,PWR,36KV, CU,1C,500/35MM2</t>
  </si>
  <si>
    <t>07/08/2025 18/08/2025 25/08/2025</t>
  </si>
  <si>
    <t>08/09/2025 10/09/2025</t>
  </si>
  <si>
    <t>61 M USE IN EMERGENCY</t>
  </si>
  <si>
    <t>JOINT KIT 36KV,500/35MM2 CU</t>
  </si>
  <si>
    <t>08/09/2025 10/09/2025 07/02/2026</t>
  </si>
  <si>
    <t>20 M USE IN EMERGENCY</t>
  </si>
  <si>
    <t>TERMI KIT 1X500SQMM 1250A PLUGIN 36,KV</t>
  </si>
  <si>
    <t>JOINT KIT 3X500,15 KV</t>
  </si>
  <si>
    <t>EMERGENCY SCRAP</t>
  </si>
  <si>
    <t>W/O 253008910</t>
  </si>
  <si>
    <t>W/O 253043858</t>
  </si>
  <si>
    <t>SURIA</t>
  </si>
  <si>
    <t>W/O 213016093</t>
  </si>
  <si>
    <t>12/08/2025 18/08/2025</t>
  </si>
  <si>
    <t>W/O 253014452</t>
  </si>
  <si>
    <t>17/08/2025 19/08/2025</t>
  </si>
  <si>
    <t>W/O 253030667</t>
  </si>
  <si>
    <t>16/08/2025 27/08/2025</t>
  </si>
  <si>
    <t>W/O 253044437</t>
  </si>
  <si>
    <t>05/08/2025 11/08/2025</t>
  </si>
  <si>
    <t>LUG 300 BT</t>
  </si>
  <si>
    <t>W/O 253014949</t>
  </si>
  <si>
    <t xml:space="preserve">ARIF </t>
  </si>
  <si>
    <t>COND,BR,CU,70SQMM,19STR,SOFT DRWN</t>
  </si>
  <si>
    <t>07/08/2025 09/08/2025 22/04/2026</t>
  </si>
  <si>
    <t>ARIF  MIZAN</t>
  </si>
  <si>
    <t>CONNECTOR,GRNDG,C,CU,100-125SQMMCU</t>
  </si>
  <si>
    <t>08/08/2025 22/04/2026</t>
  </si>
  <si>
    <t>CONN,ELEC,EL,DB 3X500KIT</t>
  </si>
  <si>
    <t xml:space="preserve">JOIN TKIT 3X500 </t>
  </si>
  <si>
    <t>MOSHARF</t>
  </si>
  <si>
    <t>07/08/2025 22/04/2026</t>
  </si>
  <si>
    <t>ARIF MIZAN</t>
  </si>
  <si>
    <t>04/08/2025 07/08/2025 22/04/2026</t>
  </si>
  <si>
    <t xml:space="preserve">GIVE TO EXPERTISE </t>
  </si>
  <si>
    <t>1 PIC RETURN TO SEC JIC</t>
  </si>
  <si>
    <t xml:space="preserve">SCRAP CABLE </t>
  </si>
  <si>
    <t>W/O 233071093</t>
  </si>
  <si>
    <t>MUSHARF</t>
  </si>
  <si>
    <t>16/08/2025 19/08/2025</t>
  </si>
  <si>
    <t>SHAHID MUSHARF</t>
  </si>
  <si>
    <t>SHAHID</t>
  </si>
  <si>
    <t>SR#</t>
  </si>
  <si>
    <t>SCRAP CABLE CUT PICES</t>
  </si>
  <si>
    <t>W/O 243140760</t>
  </si>
  <si>
    <t>31/07/2025 10/08/2025</t>
  </si>
  <si>
    <t>W/O 253029626</t>
  </si>
  <si>
    <t>TERM 4X185</t>
  </si>
  <si>
    <t>908122009</t>
  </si>
  <si>
    <t>CONNECTOR,LUG,185MM2 AL,(1)M12 BLT HL</t>
  </si>
  <si>
    <t>CT COIL 200A</t>
  </si>
  <si>
    <t>CB 200 A</t>
  </si>
  <si>
    <t>W/O 243101465</t>
  </si>
  <si>
    <t>TERM KIT 4X300</t>
  </si>
  <si>
    <t>CABLE 4X300 AL</t>
  </si>
  <si>
    <t>GROUND WIRE</t>
  </si>
  <si>
    <t xml:space="preserve">G CLAMP </t>
  </si>
  <si>
    <t>LUGS 35 CU</t>
  </si>
  <si>
    <t>GROUND ROD</t>
  </si>
  <si>
    <t>W/O 253043752</t>
  </si>
  <si>
    <t>CT / M BOX</t>
  </si>
  <si>
    <t>CT COIL 300A</t>
  </si>
  <si>
    <t>CB 300A</t>
  </si>
  <si>
    <t>LUG 240 CU</t>
  </si>
  <si>
    <t>W/O 253031554</t>
  </si>
  <si>
    <t>26/07/2025 13/08/2025</t>
  </si>
  <si>
    <t>W/O 253008473</t>
  </si>
  <si>
    <t>15/07/2025 23/07/2025</t>
  </si>
  <si>
    <t>14/08/2025 27/08/2025</t>
  </si>
  <si>
    <t>MOSHRAF MUKISH</t>
  </si>
  <si>
    <t>14/08/2025 27/08/2025 05/03/2026</t>
  </si>
  <si>
    <t xml:space="preserve">MOSHRAF MIZAN </t>
  </si>
  <si>
    <t>RETURN TO SEC JIC</t>
  </si>
  <si>
    <t>15/08/2025 13/09/2025</t>
  </si>
  <si>
    <t>SIGN ELEC</t>
  </si>
  <si>
    <t>CT COIL  3000A</t>
  </si>
  <si>
    <t>CABLE CNTRL 2.5SQMM</t>
  </si>
  <si>
    <t>SCRAP CABLE</t>
  </si>
  <si>
    <t>FOURMEN</t>
  </si>
  <si>
    <t>W/O 243131700</t>
  </si>
  <si>
    <t>W/O 253033015</t>
  </si>
  <si>
    <t>MOHAN LAL</t>
  </si>
  <si>
    <t>W/O 253008295</t>
  </si>
  <si>
    <t>16/07/2025 20/07/2025</t>
  </si>
  <si>
    <t>W/O 253008596</t>
  </si>
  <si>
    <t>CONN,ELEC,EL,DEADBREAK,#755BLR</t>
  </si>
  <si>
    <t>21/08/2025 25/08/2025</t>
  </si>
  <si>
    <t>BRAID,GROUNDING,12.17MM,WD X4.57M LG X</t>
  </si>
  <si>
    <t>908202189</t>
  </si>
  <si>
    <t>PANEL,DIST,OD,AL,1600A ,8CK,6MCCB 400A</t>
  </si>
  <si>
    <t>TFMR,PD,1MVA,34.5KX400/230/133V,170KAL</t>
  </si>
  <si>
    <t>LUG 95AL</t>
  </si>
  <si>
    <t>DEVICE ,GROUNDING ,METALLIC TAPE SHIELDED</t>
  </si>
  <si>
    <t xml:space="preserve">SWITCHGEA METL ENCLOSE RMU O/D </t>
  </si>
  <si>
    <t>CT COIL 1500 A</t>
  </si>
  <si>
    <t>STUD DBLENDED</t>
  </si>
  <si>
    <t>SIGN IDENTIFICATION</t>
  </si>
  <si>
    <t>BRAID SHIELDING 25MM</t>
  </si>
  <si>
    <t>CABLE 1X630 CU</t>
  </si>
  <si>
    <t>CABLE,ELEC,CU,XLPE,95SQMM,1</t>
  </si>
  <si>
    <t>24/07/2025 29/07/2025</t>
  </si>
  <si>
    <t>309005918 905835838</t>
  </si>
  <si>
    <t>CONN ELEC DEADBREAK</t>
  </si>
  <si>
    <t>905901259 300352284</t>
  </si>
  <si>
    <t>SPLICE KIT : CABLE ,HEAT SHRINK 36KV</t>
  </si>
  <si>
    <t>LUG 630MM CU</t>
  </si>
  <si>
    <t xml:space="preserve">RETURN SCRAP  CABLE 1X95 AND MATERIAL </t>
  </si>
  <si>
    <t xml:space="preserve">NAME </t>
  </si>
  <si>
    <t>CB 400</t>
  </si>
  <si>
    <t>1 CB USE WO#253008596</t>
  </si>
  <si>
    <t xml:space="preserve">BUS BAR </t>
  </si>
  <si>
    <t xml:space="preserve">CABLE 1X95 SQMM </t>
  </si>
  <si>
    <t>TFMR CT 600A</t>
  </si>
  <si>
    <t>W/O 253026675</t>
  </si>
  <si>
    <t>23/07/2025 28/07/2025</t>
  </si>
  <si>
    <t>LUG 240SQM C</t>
  </si>
  <si>
    <t>CB 250A</t>
  </si>
  <si>
    <t>W/O 253038873</t>
  </si>
  <si>
    <t>11/07/2025 21/07/2025</t>
  </si>
  <si>
    <t>W/O 253008367</t>
  </si>
  <si>
    <t>MIZAIN</t>
  </si>
  <si>
    <t>01/08/2025 04/08/2025</t>
  </si>
  <si>
    <t>02/08/2025 22/04/2026</t>
  </si>
  <si>
    <t>SCRAP RETUN</t>
  </si>
  <si>
    <t>W/O 253045395</t>
  </si>
  <si>
    <t>W/O 253017794</t>
  </si>
  <si>
    <t>13/07/2025 30/07/2025</t>
  </si>
  <si>
    <t>W/O 253035252</t>
  </si>
  <si>
    <t>CB 150 A</t>
  </si>
  <si>
    <t>W/O 253040833</t>
  </si>
  <si>
    <t>08/07/2025 22/07/2025</t>
  </si>
  <si>
    <t>W/O 243000104</t>
  </si>
  <si>
    <t>13/07/2025  31/07/2025</t>
  </si>
  <si>
    <t>W/O 213031463</t>
  </si>
  <si>
    <t>KWH 100A</t>
  </si>
  <si>
    <t>1/M BOX</t>
  </si>
  <si>
    <t>CB100</t>
  </si>
  <si>
    <t>W/O 253031976</t>
  </si>
  <si>
    <t>W/O 243042746</t>
  </si>
  <si>
    <t>27316238 28236175</t>
  </si>
  <si>
    <t>25/06/2025 17/12/2025</t>
  </si>
  <si>
    <t>24/07/2025 18/12/2025</t>
  </si>
  <si>
    <t xml:space="preserve">LUG 70 AL </t>
  </si>
  <si>
    <t>CB 20A</t>
  </si>
  <si>
    <t>W/O 253013589</t>
  </si>
  <si>
    <t>W/O 253040723</t>
  </si>
  <si>
    <t>W/O 253023280</t>
  </si>
  <si>
    <t>W/O 253031108</t>
  </si>
  <si>
    <t>CB150A</t>
  </si>
  <si>
    <t>W/O 253025026</t>
  </si>
  <si>
    <t>W/O 243127905</t>
  </si>
  <si>
    <t>W/O 243130702</t>
  </si>
  <si>
    <t>TERM 4X300</t>
  </si>
  <si>
    <t>18/06/2025 24/06/2025</t>
  </si>
  <si>
    <t>W/O 243141212</t>
  </si>
  <si>
    <t>CABLE,ELEC,AL,XLPE,70SQMM,3C</t>
  </si>
  <si>
    <t>01/06/2025 26/08/2025</t>
  </si>
  <si>
    <t>04/07/2025 03/08/2025</t>
  </si>
  <si>
    <t>31/072025</t>
  </si>
  <si>
    <t xml:space="preserve">CONNECTOR, LUG,300MM2 AL </t>
  </si>
  <si>
    <t>W/O 253021097</t>
  </si>
  <si>
    <t>W/O 243128145</t>
  </si>
  <si>
    <t>CABLE 4X70</t>
  </si>
  <si>
    <t>W/O 253007065</t>
  </si>
  <si>
    <t>W/O 243137775</t>
  </si>
  <si>
    <t>MATRIAL</t>
  </si>
  <si>
    <t xml:space="preserve">BRACKER 400A </t>
  </si>
  <si>
    <t>MOHYAN</t>
  </si>
  <si>
    <t>CT QUIAL 400/5A</t>
  </si>
  <si>
    <t>LUG 240</t>
  </si>
  <si>
    <t>BOX ,M,1CUST ,OTDR,CT,380V</t>
  </si>
  <si>
    <t>W/O 253023780</t>
  </si>
  <si>
    <t>W/O 253023658</t>
  </si>
  <si>
    <r>
      <rPr>
        <rFont val="Calibri"/>
        <b/>
        <color theme="1"/>
        <sz val="22.0"/>
        <u/>
      </rPr>
      <t>1</t>
    </r>
    <r>
      <rPr>
        <rFont val="Calibri"/>
        <b/>
        <color theme="1"/>
        <sz val="12.0"/>
        <u/>
      </rPr>
      <t>M</t>
    </r>
  </si>
  <si>
    <t>REMOVAL</t>
  </si>
  <si>
    <t>CB 160A</t>
  </si>
  <si>
    <t>W/O 243020059</t>
  </si>
  <si>
    <t>LUGS 50 CU</t>
  </si>
  <si>
    <t>W/O 243008111</t>
  </si>
  <si>
    <t>07/05/2025 27/05/2025</t>
  </si>
  <si>
    <t>HUSSAIN SURYIA</t>
  </si>
  <si>
    <t>27/05/2025 01/06/2025</t>
  </si>
  <si>
    <t>W/O 253016920</t>
  </si>
  <si>
    <t>908121008</t>
  </si>
  <si>
    <t>TERMINATION KIT:CABLE,HEAT/COLD SHRINK,I</t>
  </si>
  <si>
    <t>21/05/2025 27/05/2025</t>
  </si>
  <si>
    <t>W/O 253019304</t>
  </si>
  <si>
    <t>11/05/2025 18/05/2025</t>
  </si>
  <si>
    <t>HUSSAIN /MOHAN</t>
  </si>
  <si>
    <t xml:space="preserve">MOHAN </t>
  </si>
  <si>
    <t>LUG 50CU</t>
  </si>
  <si>
    <t>2/M BOX</t>
  </si>
  <si>
    <t>W/O 253020217</t>
  </si>
  <si>
    <t>14/05/2025 29/05/2025</t>
  </si>
  <si>
    <t>HUSSAIN/SURYIA</t>
  </si>
  <si>
    <t>W/O 243015882</t>
  </si>
  <si>
    <t>TERM KIT 4X70</t>
  </si>
  <si>
    <t>26/05/2025 03/06/2025</t>
  </si>
  <si>
    <t>CB 400 A</t>
  </si>
  <si>
    <t>W/O 243121315</t>
  </si>
  <si>
    <t>GROUND WIRE 35</t>
  </si>
  <si>
    <t>W/O 253026859</t>
  </si>
  <si>
    <t>MOHAN</t>
  </si>
  <si>
    <t>11/05/2025 25/05/2025</t>
  </si>
  <si>
    <t>4/M BOX</t>
  </si>
  <si>
    <t>C CLUMP</t>
  </si>
  <si>
    <t xml:space="preserve">GROUND ROD </t>
  </si>
  <si>
    <t>W/O 243138608</t>
  </si>
  <si>
    <t>05/05/2025 25/05/2025</t>
  </si>
  <si>
    <t>HUSSAIN MOHAN</t>
  </si>
  <si>
    <t>MINI PILLAR</t>
  </si>
  <si>
    <t>CABLE 4X70 AL</t>
  </si>
  <si>
    <t>CB 150A</t>
  </si>
  <si>
    <t>W/O 243136871</t>
  </si>
  <si>
    <t>908121150</t>
  </si>
  <si>
    <t>JOINT KIT,STR,PM,15KV,3X500/35MM2,AL,AR</t>
  </si>
  <si>
    <t>MASHRAF</t>
  </si>
  <si>
    <t>TERMKIT 4X70</t>
  </si>
  <si>
    <t>29/04/2025 04/05/2025</t>
  </si>
  <si>
    <t>908569114</t>
  </si>
  <si>
    <t>908121144</t>
  </si>
  <si>
    <t>TERM KIT 3X70</t>
  </si>
  <si>
    <t>04/05/2025 29/04/2025</t>
  </si>
  <si>
    <t>LUG 70 MM CU</t>
  </si>
  <si>
    <t>CABLE 3X500</t>
  </si>
  <si>
    <t>908111102</t>
  </si>
  <si>
    <t>W/O 243121088</t>
  </si>
  <si>
    <t>ROD,GROUND,16 MM</t>
  </si>
  <si>
    <t>CB 160 A</t>
  </si>
  <si>
    <t>TERMINATION KIT:4X70</t>
  </si>
  <si>
    <t>W/O 253008093</t>
  </si>
  <si>
    <t>CABLE 4X70 MM AL</t>
  </si>
  <si>
    <t>W/O 243076489</t>
  </si>
  <si>
    <t>DUBL M BOX</t>
  </si>
  <si>
    <t>CB.50A</t>
  </si>
  <si>
    <t>W/O 253009370</t>
  </si>
  <si>
    <t xml:space="preserve">REMOVAL RETURN </t>
  </si>
  <si>
    <t>1.5(60</t>
  </si>
  <si>
    <t>28/04/2025</t>
  </si>
  <si>
    <t>W/O 253019134</t>
  </si>
  <si>
    <t xml:space="preserve">REMOVAL </t>
  </si>
  <si>
    <t>M</t>
  </si>
  <si>
    <t>W/O 253019247</t>
  </si>
  <si>
    <t>W/O 243005030</t>
  </si>
  <si>
    <t>27003159</t>
  </si>
  <si>
    <t>SUAFUL</t>
  </si>
  <si>
    <t xml:space="preserve"> MUSHARF ALI</t>
  </si>
  <si>
    <t>23/04/2025 08/05/2025</t>
  </si>
  <si>
    <t>LUG 70 CU</t>
  </si>
  <si>
    <t>31/07/2025 01/09/2025</t>
  </si>
  <si>
    <t>RETURN TO SEC MRR</t>
  </si>
  <si>
    <t xml:space="preserve"> CABLE AL 4X300 CUT PICES </t>
  </si>
  <si>
    <t>MASHARAF</t>
  </si>
  <si>
    <t>W/O 243086699</t>
  </si>
  <si>
    <t>908421002 908421031</t>
  </si>
  <si>
    <t>2/ M BOX</t>
  </si>
  <si>
    <t>08/09/2025 11/09/2025</t>
  </si>
  <si>
    <t xml:space="preserve">CABLE 4X 1X185 SQMM </t>
  </si>
  <si>
    <t>W/O 243141206</t>
  </si>
  <si>
    <t>MUSHARF ALI</t>
  </si>
  <si>
    <t>SCRAP/5M</t>
  </si>
  <si>
    <t>21/04/2025 19/05/2025</t>
  </si>
  <si>
    <t>LUG 70M AL</t>
  </si>
  <si>
    <t>SR</t>
  </si>
  <si>
    <t>W/O</t>
  </si>
  <si>
    <t>TFMR 500KVA</t>
  </si>
  <si>
    <t>W/O 243066155</t>
  </si>
  <si>
    <t>W/O 243136508</t>
  </si>
  <si>
    <t>2M SCRAP</t>
  </si>
  <si>
    <t>W/O 243069003</t>
  </si>
  <si>
    <t>28/04/2025 29/04/2025</t>
  </si>
  <si>
    <t>C.B 30A</t>
  </si>
  <si>
    <t>C.B 40A</t>
  </si>
  <si>
    <t>CABLE 4X300</t>
  </si>
  <si>
    <t>CB 30 A</t>
  </si>
  <si>
    <t>6M</t>
  </si>
  <si>
    <t>W/O 243027913</t>
  </si>
  <si>
    <t>CT COIL 200 - C.B 200A</t>
  </si>
  <si>
    <t>W/O 243130525</t>
  </si>
  <si>
    <t>HOSSAIN</t>
  </si>
  <si>
    <t>LUG B.T. 300 AL</t>
  </si>
  <si>
    <t>6 M SCRAP</t>
  </si>
  <si>
    <t>4/ M BOX</t>
  </si>
  <si>
    <t>CNTRL CABLE CU 12CORE</t>
  </si>
  <si>
    <t>W/O 253008576</t>
  </si>
  <si>
    <t>JOINT 4X70</t>
  </si>
  <si>
    <t>20/03/2025 07/04/2025</t>
  </si>
  <si>
    <t>LUG 70AL</t>
  </si>
  <si>
    <t>U</t>
  </si>
  <si>
    <t>W/O 243144429</t>
  </si>
  <si>
    <t>S/ M BOX</t>
  </si>
  <si>
    <t>W/O 243079858</t>
  </si>
  <si>
    <t>W/O 243090450</t>
  </si>
  <si>
    <t>05/04/2025 08/042025</t>
  </si>
  <si>
    <t>5M SCRAP</t>
  </si>
  <si>
    <t>W/O 253012124</t>
  </si>
  <si>
    <t>W/O 253012620</t>
  </si>
  <si>
    <t>W/O 173044984</t>
  </si>
  <si>
    <t>22/03/2025 23/03/2025</t>
  </si>
  <si>
    <t>3 M SCRAP</t>
  </si>
  <si>
    <t>D/ M BOX</t>
  </si>
  <si>
    <t>LUG 120CU</t>
  </si>
  <si>
    <t>W/O 243125658</t>
  </si>
  <si>
    <t>CABLE 4X70MM2</t>
  </si>
  <si>
    <t>MUNIR</t>
  </si>
  <si>
    <t>1/ M BOX</t>
  </si>
  <si>
    <t>W/O 223066421</t>
  </si>
  <si>
    <t>04/03/2025 28/08/2025</t>
  </si>
  <si>
    <t>10/11/2025 24/11/2025</t>
  </si>
  <si>
    <t>24/11/2025 24/11/2025</t>
  </si>
  <si>
    <t>W/O 243139186</t>
  </si>
  <si>
    <t>W/O 243040738</t>
  </si>
  <si>
    <t>CT METER 1.5(6)</t>
  </si>
  <si>
    <t xml:space="preserve"> 12/02/2025 01/03/2025</t>
  </si>
  <si>
    <t>C B 400A</t>
  </si>
  <si>
    <t>05/02/2025 25/02/2025</t>
  </si>
  <si>
    <t>CT COIL 400A</t>
  </si>
  <si>
    <t>W/O 243141375</t>
  </si>
  <si>
    <t>1 /M BOX</t>
  </si>
  <si>
    <t>C B 200A</t>
  </si>
  <si>
    <t>C.B 100A</t>
  </si>
  <si>
    <t>W/O 223011460</t>
  </si>
  <si>
    <t>09/02/2025 15/02/2025</t>
  </si>
  <si>
    <t>W/O 213045775</t>
  </si>
  <si>
    <t>W/O 243078875</t>
  </si>
  <si>
    <t>DESCRIPTION OF MATERIAL</t>
  </si>
  <si>
    <t>JOINT KIT ,STR,PM,15KV,3X500/35MM2,AL,AR</t>
  </si>
  <si>
    <t>26634018</t>
  </si>
  <si>
    <t>09/04/2025 23/04/2025 03/11/2025</t>
  </si>
  <si>
    <t>SURIYA MIZAN</t>
  </si>
  <si>
    <t>RETURN TO SEC</t>
  </si>
  <si>
    <t>TERM KIT 3X500</t>
  </si>
  <si>
    <t>23/04/2025 02/10/2025 04/10/2025 04/10/2025 16/10/2025 16/10/2025 03/11/2025</t>
  </si>
  <si>
    <t>SURIYA SHAID MAKHBOR MIZAN</t>
  </si>
  <si>
    <t>CONNECTOR,LUG,70SQMM CU,13MMDIA,40.4MMLG</t>
  </si>
  <si>
    <t>04/10/2025 16/10/2025 03/11/2025</t>
  </si>
  <si>
    <t>SHAID MIZAN</t>
  </si>
  <si>
    <t>ROD,GRD,CUWLD STL,16MM DIA,2400MM LG</t>
  </si>
  <si>
    <t>CONNECTOR,GRNDG,C,CU,100125SQMMCU</t>
  </si>
  <si>
    <t>27/01/2025 04/11/2025</t>
  </si>
  <si>
    <t>MUNIR MIZAN</t>
  </si>
  <si>
    <t>04/10/2025 16/10/2025</t>
  </si>
  <si>
    <t>SMART RMU 3LBS</t>
  </si>
  <si>
    <t>14/04/2025 06/11/2025</t>
  </si>
  <si>
    <t>CNTRL CABLE 2 CORE</t>
  </si>
  <si>
    <t>908114004</t>
  </si>
  <si>
    <t>12/03/2025 08/04/2025 21/04/2025 16/10/2025 06/11/2025</t>
  </si>
  <si>
    <t>SURIYA MBAKHBOR MIZAN</t>
  </si>
  <si>
    <t>504M RETURN TO SEC JIC 06/11/2025</t>
  </si>
  <si>
    <t>SMART RMU 3LBS +1CB</t>
  </si>
  <si>
    <t>02/10/2025 15/10/2025</t>
  </si>
  <si>
    <t xml:space="preserve">ADDISHNAL USE </t>
  </si>
  <si>
    <t>NEW SCRAP CABLE DETAILS</t>
  </si>
  <si>
    <t>S/N</t>
  </si>
  <si>
    <t>CABLE CUT PIECES</t>
  </si>
  <si>
    <t>FORMAN NAME</t>
  </si>
  <si>
    <t>CABLE 3X500 CUT PICE SINGLE CORE</t>
  </si>
  <si>
    <t>TOTAL</t>
  </si>
  <si>
    <t>3 WAY RMU</t>
  </si>
  <si>
    <t>RETUEN TO SEC JIC</t>
  </si>
  <si>
    <t>W/O 243097728</t>
  </si>
  <si>
    <t>01/02/2025 04/02/2025</t>
  </si>
  <si>
    <t>C.B 50 A</t>
  </si>
  <si>
    <t>W/O 243075419</t>
  </si>
  <si>
    <t>LUG 70MM CU</t>
  </si>
  <si>
    <t>C CLAMP</t>
  </si>
  <si>
    <t>KWH 1.5 (6)</t>
  </si>
  <si>
    <t>TFMR CT LV3000/5A</t>
  </si>
  <si>
    <t>RT BOOT 36KV 3X185/35</t>
  </si>
  <si>
    <t>CONN ELEC TERM 95 CU</t>
  </si>
  <si>
    <t xml:space="preserve">CONNELEC TERM 4/0SQMM </t>
  </si>
  <si>
    <t>ADAPTER CABLE SPLICE 35KV</t>
  </si>
  <si>
    <t>CONNELEC TERM  AL 500 MCM</t>
  </si>
  <si>
    <t>08/01/2025 19/05/2025</t>
  </si>
  <si>
    <t>06/02/2025 08/02/2025 25/02/2025</t>
  </si>
  <si>
    <t>ADAPTER CABLE SPLICE 35KV 600A</t>
  </si>
  <si>
    <t>PLUG INSULATING DEAD END</t>
  </si>
  <si>
    <t>BRAID GROUNDING</t>
  </si>
  <si>
    <t>RETURN TO JIC</t>
  </si>
  <si>
    <t>SIGN ELE SFTY DANGER</t>
  </si>
  <si>
    <t>SPRING TORSION</t>
  </si>
  <si>
    <t>CONN ELEC SLV  CU BODY CNDCTR</t>
  </si>
  <si>
    <t>SLV 185 CU</t>
  </si>
  <si>
    <t>TFMR PD.1.5MVA 34.5KV</t>
  </si>
  <si>
    <t>SWITCHGEAR METAL O/D, (2)</t>
  </si>
  <si>
    <t xml:space="preserve">CABLE,ELEC,CU 240SQMM </t>
  </si>
  <si>
    <t xml:space="preserve">GROUNDING 70MM </t>
  </si>
  <si>
    <t xml:space="preserve">GROUNDING 35MM </t>
  </si>
  <si>
    <t>CABLE POWER 185CU</t>
  </si>
  <si>
    <t>06/02/2025 08/02/2025</t>
  </si>
  <si>
    <t>SPLICE KIT:CABLE ,HEAT SHRINK ,36KV</t>
  </si>
  <si>
    <t>NEW CUT PIECES SACRAP</t>
  </si>
  <si>
    <t>SEC #</t>
  </si>
  <si>
    <t>REC DATE</t>
  </si>
  <si>
    <t>FORMEN</t>
  </si>
  <si>
    <t>W/O 243093534</t>
  </si>
  <si>
    <t>KWH 20 (160) A</t>
  </si>
  <si>
    <t>W/O 243093573</t>
  </si>
  <si>
    <t>W/O 243039104</t>
  </si>
  <si>
    <t>21/01/2025 29/01/2025</t>
  </si>
  <si>
    <t>C.B 50A</t>
  </si>
  <si>
    <t>W/O 213018671</t>
  </si>
  <si>
    <t>12/01/2025 15/01/2025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</si>
</sst>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4">
    <font>
      <sz val="11.0"/>
      <color theme="1"/>
      <name val="Calibri"/>
      <scheme val="minor"/>
    </font>
    <font>
      <sz val="48.0"/>
      <color theme="1"/>
      <name val="Calibri"/>
    </font>
    <font/>
    <font>
      <b/>
      <sz val="20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4.0"/>
      <color theme="1"/>
      <name val="Arial"/>
    </font>
    <font>
      <b/>
      <u/>
      <sz val="22.0"/>
      <color theme="1"/>
      <name val="Calibri"/>
    </font>
    <font>
      <b/>
      <u/>
      <sz val="2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22.0"/>
      <color theme="1"/>
      <name val="Calibri"/>
    </font>
    <font>
      <b/>
      <u/>
      <sz val="22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sz val="11.0"/>
      <color rgb="FFFFFF00"/>
      <name val="Calibri"/>
    </font>
    <font>
      <sz val="11.0"/>
      <color theme="0"/>
      <name val="Calibri"/>
    </font>
    <font>
      <b/>
      <u/>
      <sz val="22.0"/>
      <color theme="1"/>
      <name val="Calibri"/>
    </font>
    <font>
      <b/>
      <i/>
      <sz val="16.0"/>
      <color theme="1"/>
      <name val="Calibri"/>
    </font>
    <font>
      <b/>
      <i/>
      <sz val="18.0"/>
      <color theme="1"/>
      <name val="Calibri"/>
    </font>
    <font>
      <b/>
      <i/>
      <sz val="14.0"/>
      <color theme="1"/>
      <name val="Arial"/>
    </font>
    <font>
      <b/>
      <i/>
      <sz val="20.0"/>
      <color theme="1"/>
      <name val="Calibri"/>
    </font>
    <font>
      <b/>
      <i/>
      <u/>
      <sz val="22.0"/>
      <color theme="1"/>
      <name val="Calibri"/>
    </font>
    <font>
      <sz val="20.0"/>
      <color theme="1"/>
      <name val="Calibri"/>
    </font>
    <font>
      <b/>
      <sz val="22.0"/>
      <color theme="1"/>
      <name val="Calibri"/>
    </font>
    <font>
      <sz val="24.0"/>
      <color theme="1"/>
      <name val="Calibri"/>
    </font>
    <font>
      <b/>
      <u/>
      <sz val="22.0"/>
      <color theme="1"/>
      <name val="Calibri"/>
    </font>
    <font>
      <sz val="36.0"/>
      <color theme="1"/>
      <name val="Calibri"/>
    </font>
    <font>
      <b/>
      <sz val="20.0"/>
      <color theme="1"/>
      <name val="Arial"/>
    </font>
    <font>
      <b/>
      <sz val="55.0"/>
      <color theme="1"/>
      <name val="Calibri"/>
    </font>
    <font>
      <b/>
      <sz val="24.0"/>
      <color theme="1"/>
      <name val="Calibri"/>
    </font>
    <font>
      <b/>
      <sz val="26.0"/>
      <color theme="1"/>
      <name val="Calibri"/>
    </font>
    <font>
      <sz val="28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2F5496"/>
        <bgColor rgb="FF2F5496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6" fillId="4" fontId="3" numFmtId="3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shrinkToFit="0" vertical="center" wrapText="1"/>
    </xf>
    <xf borderId="6" fillId="4" fontId="4" numFmtId="0" xfId="0" applyAlignment="1" applyBorder="1" applyFont="1">
      <alignment horizontal="center" vertical="center"/>
    </xf>
    <xf borderId="4" fillId="4" fontId="3" numFmtId="164" xfId="0" applyAlignment="1" applyBorder="1" applyFont="1" applyNumberForma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0" fontId="9" numFmtId="0" xfId="0" applyBorder="1" applyFont="1"/>
    <xf borderId="0" fillId="0" fontId="10" numFmtId="0" xfId="0" applyFont="1"/>
    <xf borderId="4" fillId="4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4" fillId="0" fontId="5" numFmtId="164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7" fillId="3" fontId="3" numFmtId="0" xfId="0" applyAlignment="1" applyBorder="1" applyFont="1">
      <alignment horizontal="center" vertical="center"/>
    </xf>
    <xf borderId="8" fillId="4" fontId="3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8" fillId="4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4" fillId="4" fontId="3" numFmtId="164" xfId="0" applyAlignment="1" applyBorder="1" applyFont="1" applyNumberFormat="1">
      <alignment horizontal="center" shrinkToFit="0" vertical="center" wrapText="1"/>
    </xf>
    <xf borderId="8" fillId="4" fontId="4" numFmtId="164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6" fillId="2" fontId="4" numFmtId="164" xfId="0" applyAlignment="1" applyBorder="1" applyFont="1" applyNumberForma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1" fillId="4" fontId="9" numFmtId="0" xfId="0" applyBorder="1" applyFont="1"/>
    <xf borderId="4" fillId="2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4" fillId="4" fontId="4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vertical="center"/>
    </xf>
    <xf borderId="4" fillId="0" fontId="4" numFmtId="0" xfId="0" applyBorder="1" applyFont="1"/>
    <xf borderId="9" fillId="0" fontId="5" numFmtId="164" xfId="0" applyAlignment="1" applyBorder="1" applyFont="1" applyNumberFormat="1">
      <alignment horizontal="center" shrinkToFit="0" vertical="center" wrapText="1"/>
    </xf>
    <xf borderId="8" fillId="3" fontId="3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8" fillId="4" fontId="5" numFmtId="164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center" vertical="center"/>
    </xf>
    <xf borderId="4" fillId="6" fontId="11" numFmtId="0" xfId="0" applyAlignment="1" applyBorder="1" applyFill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4" fillId="4" fontId="14" numFmtId="0" xfId="0" applyBorder="1" applyFont="1"/>
    <xf borderId="4" fillId="4" fontId="9" numFmtId="0" xfId="0" applyBorder="1" applyFont="1"/>
    <xf borderId="4" fillId="6" fontId="15" numFmtId="0" xfId="0" applyAlignment="1" applyBorder="1" applyFont="1">
      <alignment shrinkToFit="0" wrapText="1"/>
    </xf>
    <xf borderId="0" fillId="0" fontId="5" numFmtId="0" xfId="0" applyFont="1"/>
    <xf borderId="4" fillId="5" fontId="9" numFmtId="0" xfId="0" applyBorder="1" applyFont="1"/>
    <xf borderId="4" fillId="4" fontId="11" numFmtId="0" xfId="0" applyBorder="1" applyFont="1"/>
    <xf borderId="4" fillId="7" fontId="3" numFmtId="0" xfId="0" applyAlignment="1" applyBorder="1" applyFill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8" fillId="7" fontId="3" numFmtId="0" xfId="0" applyAlignment="1" applyBorder="1" applyFon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5" fillId="8" fontId="3" numFmtId="0" xfId="0" applyAlignment="1" applyBorder="1" applyFont="1">
      <alignment horizontal="center" vertical="center"/>
    </xf>
    <xf borderId="8" fillId="8" fontId="3" numFmtId="0" xfId="0" applyAlignment="1" applyBorder="1" applyFont="1">
      <alignment horizontal="center" vertical="center"/>
    </xf>
    <xf borderId="4" fillId="6" fontId="11" numFmtId="0" xfId="0" applyAlignment="1" applyBorder="1" applyFont="1">
      <alignment shrinkToFit="0" vertical="center" wrapText="1"/>
    </xf>
    <xf borderId="12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vertical="center"/>
    </xf>
    <xf borderId="4" fillId="4" fontId="5" numFmtId="164" xfId="0" applyAlignment="1" applyBorder="1" applyFont="1" applyNumberFormat="1">
      <alignment horizontal="center" vertical="center"/>
    </xf>
    <xf borderId="8" fillId="4" fontId="5" numFmtId="0" xfId="0" applyAlignment="1" applyBorder="1" applyFont="1">
      <alignment horizontal="center" vertical="center"/>
    </xf>
    <xf borderId="11" fillId="4" fontId="16" numFmtId="0" xfId="0" applyBorder="1" applyFont="1"/>
    <xf borderId="11" fillId="4" fontId="17" numFmtId="0" xfId="0" applyBorder="1" applyFont="1"/>
    <xf borderId="14" fillId="4" fontId="3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1" fillId="6" fontId="3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4" fillId="6" fontId="18" numFmtId="0" xfId="0" applyAlignment="1" applyBorder="1" applyFon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4" fontId="21" numFmtId="0" xfId="0" applyAlignment="1" applyBorder="1" applyFont="1">
      <alignment horizontal="center" vertical="center"/>
    </xf>
    <xf borderId="11" fillId="9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4" numFmtId="164" xfId="0" applyBorder="1" applyFont="1" applyNumberFormat="1"/>
    <xf borderId="6" fillId="4" fontId="4" numFmtId="164" xfId="0" applyAlignment="1" applyBorder="1" applyFont="1" applyNumberFormat="1">
      <alignment horizontal="center" vertical="center"/>
    </xf>
    <xf borderId="4" fillId="6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6" fontId="3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8" fillId="6" fontId="4" numFmtId="0" xfId="0" applyAlignment="1" applyBorder="1" applyFont="1">
      <alignment horizontal="center"/>
    </xf>
    <xf borderId="4" fillId="6" fontId="5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center"/>
    </xf>
    <xf borderId="20" fillId="0" fontId="4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vertical="center"/>
    </xf>
    <xf borderId="4" fillId="5" fontId="23" numFmtId="0" xfId="0" applyAlignment="1" applyBorder="1" applyFont="1">
      <alignment horizontal="center" vertical="center"/>
    </xf>
    <xf borderId="6" fillId="4" fontId="22" numFmtId="3" xfId="0" applyAlignment="1" applyBorder="1" applyFont="1" applyNumberFormat="1">
      <alignment horizontal="center" vertical="center"/>
    </xf>
    <xf borderId="6" fillId="4" fontId="19" numFmtId="164" xfId="0" applyAlignment="1" applyBorder="1" applyFont="1" applyNumberFormat="1">
      <alignment horizontal="center" shrinkToFit="0" vertical="center" wrapText="1"/>
    </xf>
    <xf borderId="6" fillId="4" fontId="19" numFmtId="0" xfId="0" applyAlignment="1" applyBorder="1" applyFont="1">
      <alignment horizontal="center" vertical="center"/>
    </xf>
    <xf borderId="4" fillId="4" fontId="4" numFmtId="164" xfId="0" applyAlignment="1" applyBorder="1" applyFont="1" applyNumberFormat="1">
      <alignment horizontal="center" shrinkToFit="0" vertical="center" wrapText="1"/>
    </xf>
    <xf borderId="0" fillId="0" fontId="9" numFmtId="164" xfId="0" applyFont="1" applyNumberFormat="1"/>
    <xf borderId="18" fillId="0" fontId="4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21" fillId="6" fontId="3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4" fillId="10" fontId="3" numFmtId="0" xfId="0" applyAlignment="1" applyBorder="1" applyFill="1" applyFont="1">
      <alignment horizontal="center" vertical="center"/>
    </xf>
    <xf borderId="7" fillId="6" fontId="4" numFmtId="0" xfId="0" applyAlignment="1" applyBorder="1" applyFont="1">
      <alignment horizontal="center"/>
    </xf>
    <xf borderId="4" fillId="0" fontId="2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/>
    </xf>
    <xf borderId="4" fillId="4" fontId="3" numFmtId="3" xfId="0" applyAlignment="1" applyBorder="1" applyFont="1" applyNumberFormat="1">
      <alignment horizontal="center" vertical="center"/>
    </xf>
    <xf borderId="4" fillId="4" fontId="25" numFmtId="0" xfId="0" applyAlignment="1" applyBorder="1" applyFont="1">
      <alignment horizontal="center" vertical="center"/>
    </xf>
    <xf borderId="4" fillId="4" fontId="25" numFmtId="3" xfId="0" applyAlignment="1" applyBorder="1" applyFont="1" applyNumberFormat="1">
      <alignment horizontal="center" vertical="center"/>
    </xf>
    <xf borderId="4" fillId="5" fontId="25" numFmtId="0" xfId="0" applyAlignment="1" applyBorder="1" applyFont="1">
      <alignment horizontal="center" vertical="center"/>
    </xf>
    <xf borderId="4" fillId="0" fontId="25" numFmtId="3" xfId="0" applyAlignment="1" applyBorder="1" applyFont="1" applyNumberFormat="1">
      <alignment horizontal="center" vertical="center"/>
    </xf>
    <xf borderId="4" fillId="0" fontId="25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4" fontId="15" numFmtId="0" xfId="0" applyAlignment="1" applyBorder="1" applyFont="1">
      <alignment horizontal="center" shrinkToFit="0" vertical="center" wrapText="1"/>
    </xf>
    <xf borderId="4" fillId="4" fontId="25" numFmtId="164" xfId="0" applyAlignment="1" applyBorder="1" applyFont="1" applyNumberFormat="1">
      <alignment horizontal="center" vertical="center"/>
    </xf>
    <xf borderId="2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vertical="center"/>
    </xf>
    <xf borderId="24" fillId="0" fontId="2" numFmtId="0" xfId="0" applyBorder="1" applyFont="1"/>
    <xf borderId="20" fillId="0" fontId="5" numFmtId="49" xfId="0" applyAlignment="1" applyBorder="1" applyFont="1" applyNumberFormat="1">
      <alignment horizontal="center" vertical="center"/>
    </xf>
    <xf borderId="15" fillId="0" fontId="12" numFmtId="0" xfId="0" applyAlignment="1" applyBorder="1" applyFont="1">
      <alignment horizontal="center" vertical="center"/>
    </xf>
    <xf borderId="12" fillId="4" fontId="3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12" fillId="5" fontId="27" numFmtId="0" xfId="0" applyAlignment="1" applyBorder="1" applyFont="1">
      <alignment horizontal="center" vertical="center"/>
    </xf>
    <xf borderId="12" fillId="4" fontId="3" numFmtId="164" xfId="0" applyAlignment="1" applyBorder="1" applyFont="1" applyNumberFormat="1">
      <alignment horizontal="center" vertical="center"/>
    </xf>
    <xf borderId="26" fillId="4" fontId="5" numFmtId="0" xfId="0" applyAlignment="1" applyBorder="1" applyFont="1">
      <alignment horizontal="center" vertical="center"/>
    </xf>
    <xf borderId="26" fillId="4" fontId="5" numFmtId="164" xfId="0" applyAlignment="1" applyBorder="1" applyFont="1" applyNumberFormat="1">
      <alignment horizontal="center" vertical="center"/>
    </xf>
    <xf borderId="27" fillId="4" fontId="5" numFmtId="0" xfId="0" applyAlignment="1" applyBorder="1" applyFont="1">
      <alignment horizontal="center" vertical="center"/>
    </xf>
    <xf borderId="28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vertical="center"/>
    </xf>
    <xf borderId="4" fillId="4" fontId="25" numFmtId="164" xfId="0" applyAlignment="1" applyBorder="1" applyFont="1" applyNumberFormat="1">
      <alignment horizontal="center" shrinkToFit="0" vertical="center" wrapText="1"/>
    </xf>
    <xf borderId="8" fillId="0" fontId="28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center" vertical="center"/>
    </xf>
    <xf borderId="12" fillId="4" fontId="25" numFmtId="0" xfId="0" applyAlignment="1" applyBorder="1" applyFont="1">
      <alignment horizontal="center" vertical="center"/>
    </xf>
    <xf borderId="12" fillId="4" fontId="25" numFmtId="3" xfId="0" applyAlignment="1" applyBorder="1" applyFont="1" applyNumberFormat="1">
      <alignment horizontal="center" vertical="center"/>
    </xf>
    <xf borderId="12" fillId="5" fontId="25" numFmtId="0" xfId="0" applyAlignment="1" applyBorder="1" applyFont="1">
      <alignment horizontal="center" vertical="center"/>
    </xf>
    <xf borderId="25" fillId="0" fontId="25" numFmtId="3" xfId="0" applyAlignment="1" applyBorder="1" applyFont="1" applyNumberFormat="1">
      <alignment horizontal="center" vertical="center"/>
    </xf>
    <xf borderId="25" fillId="0" fontId="25" numFmtId="164" xfId="0" applyAlignment="1" applyBorder="1" applyFont="1" applyNumberFormat="1">
      <alignment horizontal="center" vertical="center"/>
    </xf>
    <xf borderId="25" fillId="0" fontId="3" numFmtId="164" xfId="0" applyAlignment="1" applyBorder="1" applyFont="1" applyNumberFormat="1">
      <alignment horizontal="center" vertical="center"/>
    </xf>
    <xf borderId="25" fillId="0" fontId="3" numFmtId="0" xfId="0" applyAlignment="1" applyBorder="1" applyFont="1">
      <alignment horizontal="center" vertical="center"/>
    </xf>
    <xf borderId="4" fillId="0" fontId="25" numFmtId="164" xfId="0" applyAlignment="1" applyBorder="1" applyFont="1" applyNumberFormat="1">
      <alignment horizontal="center" shrinkToFit="0" vertical="center" wrapText="1"/>
    </xf>
    <xf borderId="4" fillId="0" fontId="29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11" fillId="4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11" fillId="4" fontId="25" numFmtId="3" xfId="0" applyAlignment="1" applyBorder="1" applyFont="1" applyNumberFormat="1">
      <alignment horizontal="center" vertical="center"/>
    </xf>
    <xf borderId="11" fillId="5" fontId="25" numFmtId="0" xfId="0" applyAlignment="1" applyBorder="1" applyFont="1">
      <alignment horizontal="center" vertical="center"/>
    </xf>
    <xf borderId="0" fillId="0" fontId="25" numFmtId="3" xfId="0" applyAlignment="1" applyFont="1" applyNumberFormat="1">
      <alignment horizontal="center" vertical="center"/>
    </xf>
    <xf borderId="0" fillId="0" fontId="25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5" numFmtId="0" xfId="0" applyFont="1"/>
    <xf borderId="8" fillId="11" fontId="30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vertical="center"/>
    </xf>
    <xf borderId="4" fillId="4" fontId="24" numFmtId="0" xfId="0" applyAlignment="1" applyBorder="1" applyFont="1">
      <alignment horizontal="center" vertical="center"/>
    </xf>
    <xf borderId="4" fillId="4" fontId="26" numFmtId="0" xfId="0" applyAlignment="1" applyBorder="1" applyFont="1">
      <alignment horizontal="center" vertical="center"/>
    </xf>
    <xf borderId="4" fillId="4" fontId="12" numFmtId="164" xfId="0" applyAlignment="1" applyBorder="1" applyFont="1" applyNumberFormat="1">
      <alignment horizontal="center" vertical="center"/>
    </xf>
    <xf borderId="8" fillId="4" fontId="24" numFmtId="0" xfId="0" applyAlignment="1" applyBorder="1" applyFont="1">
      <alignment horizontal="center" vertical="center"/>
    </xf>
    <xf borderId="4" fillId="4" fontId="26" numFmtId="164" xfId="0" applyAlignment="1" applyBorder="1" applyFont="1" applyNumberFormat="1">
      <alignment horizontal="center" vertical="center"/>
    </xf>
    <xf borderId="8" fillId="4" fontId="31" numFmtId="0" xfId="0" applyAlignment="1" applyBorder="1" applyFont="1">
      <alignment horizontal="center" vertical="center"/>
    </xf>
    <xf borderId="6" fillId="4" fontId="24" numFmtId="0" xfId="0" applyAlignment="1" applyBorder="1" applyFont="1">
      <alignment horizontal="center" vertical="center"/>
    </xf>
    <xf borderId="29" fillId="4" fontId="24" numFmtId="0" xfId="0" applyAlignment="1" applyBorder="1" applyFont="1">
      <alignment horizontal="center" vertical="center"/>
    </xf>
    <xf borderId="5" fillId="4" fontId="24" numFmtId="0" xfId="0" applyAlignment="1" applyBorder="1" applyFont="1">
      <alignment horizontal="center" vertical="center"/>
    </xf>
    <xf borderId="8" fillId="4" fontId="32" numFmtId="0" xfId="0" applyAlignment="1" applyBorder="1" applyFont="1">
      <alignment horizontal="center" vertical="center"/>
    </xf>
    <xf borderId="4" fillId="4" fontId="33" numFmtId="0" xfId="0" applyAlignment="1" applyBorder="1" applyFont="1">
      <alignment horizontal="center" vertical="center"/>
    </xf>
    <xf borderId="4" fillId="4" fontId="24" numFmtId="164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11" fillId="6" fontId="14" numFmtId="0" xfId="0" applyBorder="1" applyFont="1"/>
    <xf borderId="30" fillId="5" fontId="25" numFmtId="0" xfId="0" applyAlignment="1" applyBorder="1" applyFont="1">
      <alignment horizontal="center" vertical="center"/>
    </xf>
    <xf borderId="4" fillId="6" fontId="25" numFmtId="3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vertical="center"/>
    </xf>
    <xf borderId="6" fillId="6" fontId="3" numFmtId="3" xfId="0" applyAlignment="1" applyBorder="1" applyFont="1" applyNumberFormat="1">
      <alignment horizontal="center" vertical="center"/>
    </xf>
    <xf borderId="6" fillId="6" fontId="4" numFmtId="164" xfId="0" applyAlignment="1" applyBorder="1" applyFont="1" applyNumberFormat="1">
      <alignment horizontal="center" shrinkToFit="0" vertical="center" wrapText="1"/>
    </xf>
    <xf borderId="6" fillId="6" fontId="4" numFmtId="0" xfId="0" applyAlignment="1" applyBorder="1" applyFont="1">
      <alignment horizontal="center" vertical="center"/>
    </xf>
    <xf borderId="4" fillId="6" fontId="3" numFmtId="164" xfId="0" applyAlignment="1" applyBorder="1" applyFont="1" applyNumberFormat="1">
      <alignment horizontal="center" vertical="center"/>
    </xf>
    <xf borderId="11" fillId="6" fontId="9" numFmtId="0" xfId="0" applyBorder="1" applyFont="1"/>
    <xf borderId="4" fillId="5" fontId="25" numFmtId="3" xfId="0" applyAlignment="1" applyBorder="1" applyFont="1" applyNumberForma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4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Relationship Id="rId153" Type="http://customschemas.google.com/relationships/workbookmetadata" Target="metadata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2.8267086E7</v>
      </c>
      <c r="E3" s="7">
        <v>1.0</v>
      </c>
      <c r="F3" s="11"/>
      <c r="G3" s="12">
        <f t="shared" ref="G3:G13" si="1">E3-F3</f>
        <v>1</v>
      </c>
      <c r="H3" s="13">
        <v>46022.0</v>
      </c>
      <c r="I3" s="14" t="s">
        <v>14</v>
      </c>
      <c r="J3" s="15"/>
      <c r="K3" s="7"/>
      <c r="L3" s="9"/>
    </row>
    <row r="4">
      <c r="A4" s="7">
        <v>2.0</v>
      </c>
      <c r="B4" s="8">
        <v>9.08312027E8</v>
      </c>
      <c r="C4" s="9" t="s">
        <v>15</v>
      </c>
      <c r="D4" s="10">
        <v>2.8267086E7</v>
      </c>
      <c r="E4" s="7">
        <v>1.0</v>
      </c>
      <c r="F4" s="11">
        <v>1.0</v>
      </c>
      <c r="G4" s="12">
        <f t="shared" si="1"/>
        <v>0</v>
      </c>
      <c r="H4" s="13">
        <v>46022.0</v>
      </c>
      <c r="I4" s="14" t="s">
        <v>14</v>
      </c>
      <c r="J4" s="15">
        <v>46025.0</v>
      </c>
      <c r="K4" s="7" t="s">
        <v>16</v>
      </c>
      <c r="L4" s="9"/>
    </row>
    <row r="5">
      <c r="A5" s="7">
        <v>3.0</v>
      </c>
      <c r="B5" s="8">
        <v>9.08121008E8</v>
      </c>
      <c r="C5" s="9" t="s">
        <v>17</v>
      </c>
      <c r="D5" s="10">
        <v>2.8267086E7</v>
      </c>
      <c r="E5" s="7">
        <v>2.0</v>
      </c>
      <c r="F5" s="11">
        <v>2.0</v>
      </c>
      <c r="G5" s="12">
        <f t="shared" si="1"/>
        <v>0</v>
      </c>
      <c r="H5" s="13">
        <v>46022.0</v>
      </c>
      <c r="I5" s="14" t="s">
        <v>14</v>
      </c>
      <c r="J5" s="15">
        <v>46025.0</v>
      </c>
      <c r="K5" s="7" t="s">
        <v>16</v>
      </c>
      <c r="L5" s="9"/>
    </row>
    <row r="6">
      <c r="A6" s="7">
        <v>4.0</v>
      </c>
      <c r="B6" s="8">
        <v>9.0812101E8</v>
      </c>
      <c r="C6" s="9" t="s">
        <v>18</v>
      </c>
      <c r="D6" s="10">
        <v>2.8267086E7</v>
      </c>
      <c r="E6" s="7">
        <v>2.0</v>
      </c>
      <c r="F6" s="11">
        <v>1.0</v>
      </c>
      <c r="G6" s="12">
        <f t="shared" si="1"/>
        <v>1</v>
      </c>
      <c r="H6" s="13">
        <v>46022.0</v>
      </c>
      <c r="I6" s="14" t="s">
        <v>14</v>
      </c>
      <c r="J6" s="15">
        <v>46025.0</v>
      </c>
      <c r="K6" s="7" t="s">
        <v>16</v>
      </c>
      <c r="L6" s="9"/>
    </row>
    <row r="7">
      <c r="A7" s="7">
        <v>5.0</v>
      </c>
      <c r="B7" s="8">
        <v>9.0820203E8</v>
      </c>
      <c r="C7" s="9" t="s">
        <v>19</v>
      </c>
      <c r="D7" s="10">
        <v>2.8267086E7</v>
      </c>
      <c r="E7" s="7">
        <v>2.0</v>
      </c>
      <c r="F7" s="11">
        <v>2.0</v>
      </c>
      <c r="G7" s="12">
        <f t="shared" si="1"/>
        <v>0</v>
      </c>
      <c r="H7" s="13">
        <v>46022.0</v>
      </c>
      <c r="I7" s="14" t="s">
        <v>14</v>
      </c>
      <c r="J7" s="15">
        <v>46025.0</v>
      </c>
      <c r="K7" s="7" t="s">
        <v>16</v>
      </c>
      <c r="L7" s="9"/>
    </row>
    <row r="8">
      <c r="A8" s="7">
        <v>6.0</v>
      </c>
      <c r="B8" s="8" t="s">
        <v>20</v>
      </c>
      <c r="C8" s="9" t="s">
        <v>21</v>
      </c>
      <c r="D8" s="10">
        <v>2.8267086E7</v>
      </c>
      <c r="E8" s="7">
        <v>2.0</v>
      </c>
      <c r="F8" s="11">
        <v>2.0</v>
      </c>
      <c r="G8" s="12">
        <f t="shared" si="1"/>
        <v>0</v>
      </c>
      <c r="H8" s="13">
        <v>46022.0</v>
      </c>
      <c r="I8" s="14" t="s">
        <v>14</v>
      </c>
      <c r="J8" s="15">
        <v>46025.0</v>
      </c>
      <c r="K8" s="7" t="s">
        <v>16</v>
      </c>
      <c r="L8" s="9"/>
    </row>
    <row r="9">
      <c r="A9" s="7">
        <v>7.0</v>
      </c>
      <c r="B9" s="8">
        <v>9.08202098E8</v>
      </c>
      <c r="C9" s="9" t="s">
        <v>22</v>
      </c>
      <c r="D9" s="10">
        <v>2.8267086E7</v>
      </c>
      <c r="E9" s="7">
        <v>2.0</v>
      </c>
      <c r="F9" s="11">
        <v>2.0</v>
      </c>
      <c r="G9" s="12">
        <f t="shared" si="1"/>
        <v>0</v>
      </c>
      <c r="H9" s="13">
        <v>46022.0</v>
      </c>
      <c r="I9" s="14" t="s">
        <v>14</v>
      </c>
      <c r="J9" s="15">
        <v>46025.0</v>
      </c>
      <c r="K9" s="7" t="s">
        <v>16</v>
      </c>
      <c r="L9" s="9"/>
    </row>
    <row r="10">
      <c r="A10" s="7">
        <v>8.0</v>
      </c>
      <c r="B10" s="8">
        <v>9.08122011E8</v>
      </c>
      <c r="C10" s="9" t="s">
        <v>23</v>
      </c>
      <c r="D10" s="10">
        <v>2.8267086E7</v>
      </c>
      <c r="E10" s="7">
        <v>3.0</v>
      </c>
      <c r="F10" s="11">
        <v>6.0</v>
      </c>
      <c r="G10" s="12">
        <f t="shared" si="1"/>
        <v>-3</v>
      </c>
      <c r="H10" s="13">
        <v>46022.0</v>
      </c>
      <c r="I10" s="14" t="s">
        <v>14</v>
      </c>
      <c r="J10" s="15"/>
      <c r="K10" s="7"/>
      <c r="L10" s="9"/>
    </row>
    <row r="11">
      <c r="A11" s="7">
        <v>9.0</v>
      </c>
      <c r="B11" s="8">
        <v>9.08111101E8</v>
      </c>
      <c r="C11" s="9" t="s">
        <v>24</v>
      </c>
      <c r="D11" s="10">
        <v>2.8267086E7</v>
      </c>
      <c r="E11" s="7">
        <v>6.0</v>
      </c>
      <c r="F11" s="11">
        <v>6.0</v>
      </c>
      <c r="G11" s="12">
        <f t="shared" si="1"/>
        <v>0</v>
      </c>
      <c r="H11" s="13">
        <v>46035.0</v>
      </c>
      <c r="I11" s="14" t="s">
        <v>14</v>
      </c>
      <c r="J11" s="15">
        <v>46025.0</v>
      </c>
      <c r="K11" s="7" t="s">
        <v>16</v>
      </c>
      <c r="L11" s="9"/>
    </row>
    <row r="12">
      <c r="A12" s="7">
        <v>10.0</v>
      </c>
      <c r="B12" s="8" t="s">
        <v>25</v>
      </c>
      <c r="C12" s="9" t="s">
        <v>26</v>
      </c>
      <c r="D12" s="10">
        <v>2.8267086E7</v>
      </c>
      <c r="E12" s="7">
        <v>43.0</v>
      </c>
      <c r="F12" s="11">
        <v>43.0</v>
      </c>
      <c r="G12" s="12">
        <f t="shared" si="1"/>
        <v>0</v>
      </c>
      <c r="H12" s="13">
        <v>46035.0</v>
      </c>
      <c r="I12" s="14" t="s">
        <v>14</v>
      </c>
      <c r="J12" s="15">
        <v>46025.0</v>
      </c>
      <c r="K12" s="7" t="s">
        <v>16</v>
      </c>
      <c r="L12" s="9"/>
    </row>
    <row r="13">
      <c r="A13" s="7">
        <v>11.0</v>
      </c>
      <c r="B13" s="8" t="s">
        <v>27</v>
      </c>
      <c r="C13" s="9" t="s">
        <v>28</v>
      </c>
      <c r="D13" s="10">
        <v>2.8267086E7</v>
      </c>
      <c r="E13" s="7">
        <v>101.0</v>
      </c>
      <c r="F13" s="11">
        <v>98.0</v>
      </c>
      <c r="G13" s="12">
        <f t="shared" si="1"/>
        <v>3</v>
      </c>
      <c r="H13" s="13">
        <v>46035.0</v>
      </c>
      <c r="I13" s="14" t="s">
        <v>14</v>
      </c>
      <c r="J13" s="15">
        <v>46025.0</v>
      </c>
      <c r="K13" s="7" t="s">
        <v>16</v>
      </c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2.8266419E7</v>
      </c>
      <c r="E3" s="16">
        <v>22.0</v>
      </c>
      <c r="F3" s="11">
        <v>22.0</v>
      </c>
      <c r="G3" s="12">
        <f t="shared" ref="G3:G4" si="1">E3-F3</f>
        <v>0</v>
      </c>
      <c r="H3" s="13">
        <v>46020.0</v>
      </c>
      <c r="I3" s="14" t="s">
        <v>30</v>
      </c>
      <c r="J3" s="13">
        <v>46023.0</v>
      </c>
      <c r="K3" s="7" t="s">
        <v>16</v>
      </c>
      <c r="L3" s="17"/>
    </row>
    <row r="4">
      <c r="A4" s="7">
        <v>2.0</v>
      </c>
      <c r="B4" s="8">
        <v>9.08121008E8</v>
      </c>
      <c r="C4" s="9" t="s">
        <v>17</v>
      </c>
      <c r="D4" s="10">
        <v>2.8346422E7</v>
      </c>
      <c r="E4" s="16">
        <v>2.0</v>
      </c>
      <c r="F4" s="11">
        <v>2.0</v>
      </c>
      <c r="G4" s="12">
        <f t="shared" si="1"/>
        <v>0</v>
      </c>
      <c r="H4" s="13">
        <v>46029.0</v>
      </c>
      <c r="I4" s="14" t="s">
        <v>30</v>
      </c>
      <c r="J4" s="13">
        <v>46023.0</v>
      </c>
      <c r="K4" s="7" t="s">
        <v>16</v>
      </c>
      <c r="L4" s="17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2.8253618E7</v>
      </c>
      <c r="E3" s="16">
        <v>29.0</v>
      </c>
      <c r="F3" s="11">
        <v>29.0</v>
      </c>
      <c r="G3" s="12">
        <f t="shared" ref="G3:G4" si="1">E3-F3</f>
        <v>0</v>
      </c>
      <c r="H3" s="13">
        <v>46020.0</v>
      </c>
      <c r="I3" s="14" t="s">
        <v>14</v>
      </c>
      <c r="J3" s="13">
        <v>46018.0</v>
      </c>
      <c r="K3" s="7" t="s">
        <v>16</v>
      </c>
      <c r="L3" s="17"/>
    </row>
    <row r="4">
      <c r="A4" s="7">
        <v>2.0</v>
      </c>
      <c r="B4" s="8">
        <v>9.08121008E8</v>
      </c>
      <c r="C4" s="9" t="s">
        <v>17</v>
      </c>
      <c r="D4" s="10">
        <v>2.8346446E7</v>
      </c>
      <c r="E4" s="16">
        <v>2.0</v>
      </c>
      <c r="F4" s="11">
        <v>2.0</v>
      </c>
      <c r="G4" s="12">
        <f t="shared" si="1"/>
        <v>0</v>
      </c>
      <c r="H4" s="13">
        <v>46029.0</v>
      </c>
      <c r="I4" s="14" t="s">
        <v>14</v>
      </c>
      <c r="J4" s="13">
        <v>46018.0</v>
      </c>
      <c r="K4" s="7" t="s">
        <v>16</v>
      </c>
      <c r="L4" s="17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9.08020201E8</v>
      </c>
      <c r="C3" s="20" t="s">
        <v>13</v>
      </c>
      <c r="D3" s="10">
        <v>2.8228829E7</v>
      </c>
      <c r="E3" s="16">
        <v>1.0</v>
      </c>
      <c r="F3" s="11"/>
      <c r="G3" s="12">
        <f t="shared" ref="G3:G13" si="1">E3-F3</f>
        <v>1</v>
      </c>
      <c r="H3" s="13">
        <v>46012.0</v>
      </c>
      <c r="I3" s="14" t="s">
        <v>33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2.8228829E7</v>
      </c>
      <c r="E4" s="16">
        <v>105.0</v>
      </c>
      <c r="F4" s="11">
        <v>98.0</v>
      </c>
      <c r="G4" s="12">
        <f t="shared" si="1"/>
        <v>7</v>
      </c>
      <c r="H4" s="13">
        <v>46012.0</v>
      </c>
      <c r="I4" s="14" t="s">
        <v>33</v>
      </c>
      <c r="J4" s="13">
        <v>46020.0</v>
      </c>
      <c r="K4" s="7" t="s">
        <v>16</v>
      </c>
      <c r="L4" s="17"/>
    </row>
    <row r="5">
      <c r="A5" s="7">
        <v>3.0</v>
      </c>
      <c r="B5" s="8" t="s">
        <v>27</v>
      </c>
      <c r="C5" s="9" t="s">
        <v>28</v>
      </c>
      <c r="D5" s="10">
        <v>2.8228829E7</v>
      </c>
      <c r="E5" s="16">
        <v>48.0</v>
      </c>
      <c r="F5" s="11">
        <v>52.0</v>
      </c>
      <c r="G5" s="12">
        <f t="shared" si="1"/>
        <v>-4</v>
      </c>
      <c r="H5" s="13">
        <v>46012.0</v>
      </c>
      <c r="I5" s="14" t="s">
        <v>33</v>
      </c>
      <c r="J5" s="13">
        <v>46020.0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2.8228829E7</v>
      </c>
      <c r="E6" s="16">
        <v>2.0</v>
      </c>
      <c r="F6" s="11">
        <v>2.0</v>
      </c>
      <c r="G6" s="12">
        <f t="shared" si="1"/>
        <v>0</v>
      </c>
      <c r="H6" s="13">
        <v>46012.0</v>
      </c>
      <c r="I6" s="14" t="s">
        <v>33</v>
      </c>
      <c r="J6" s="13">
        <v>46020.0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2.8228829E7</v>
      </c>
      <c r="E7" s="16">
        <v>2.0</v>
      </c>
      <c r="F7" s="11">
        <v>2.0</v>
      </c>
      <c r="G7" s="12">
        <f t="shared" si="1"/>
        <v>0</v>
      </c>
      <c r="H7" s="13">
        <v>46012.0</v>
      </c>
      <c r="I7" s="14" t="s">
        <v>33</v>
      </c>
      <c r="J7" s="13">
        <v>46020.0</v>
      </c>
      <c r="K7" s="7" t="s">
        <v>16</v>
      </c>
      <c r="L7" s="17"/>
    </row>
    <row r="8">
      <c r="A8" s="7">
        <v>6.0</v>
      </c>
      <c r="B8" s="8">
        <v>9.08122011E8</v>
      </c>
      <c r="C8" s="9" t="s">
        <v>23</v>
      </c>
      <c r="D8" s="10">
        <v>2.8228829E7</v>
      </c>
      <c r="E8" s="16">
        <v>3.0</v>
      </c>
      <c r="F8" s="11">
        <v>3.0</v>
      </c>
      <c r="G8" s="12">
        <f t="shared" si="1"/>
        <v>0</v>
      </c>
      <c r="H8" s="13">
        <v>46012.0</v>
      </c>
      <c r="I8" s="14" t="s">
        <v>33</v>
      </c>
      <c r="J8" s="13">
        <v>46020.0</v>
      </c>
      <c r="K8" s="7" t="s">
        <v>16</v>
      </c>
      <c r="L8" s="17"/>
    </row>
    <row r="9">
      <c r="A9" s="7">
        <v>7.0</v>
      </c>
      <c r="B9" s="8">
        <v>9.0820203E8</v>
      </c>
      <c r="C9" s="9" t="s">
        <v>19</v>
      </c>
      <c r="D9" s="10">
        <v>2.8228829E7</v>
      </c>
      <c r="E9" s="16">
        <v>2.0</v>
      </c>
      <c r="F9" s="11">
        <v>2.0</v>
      </c>
      <c r="G9" s="12">
        <f t="shared" si="1"/>
        <v>0</v>
      </c>
      <c r="H9" s="13">
        <v>46012.0</v>
      </c>
      <c r="I9" s="14" t="s">
        <v>33</v>
      </c>
      <c r="J9" s="13">
        <v>46020.0</v>
      </c>
      <c r="K9" s="7" t="s">
        <v>16</v>
      </c>
      <c r="L9" s="17"/>
    </row>
    <row r="10">
      <c r="A10" s="7">
        <v>8.0</v>
      </c>
      <c r="B10" s="8" t="s">
        <v>20</v>
      </c>
      <c r="C10" s="9" t="s">
        <v>21</v>
      </c>
      <c r="D10" s="10">
        <v>2.8228829E7</v>
      </c>
      <c r="E10" s="16">
        <v>2.0</v>
      </c>
      <c r="F10" s="11">
        <v>6.0</v>
      </c>
      <c r="G10" s="12">
        <f t="shared" si="1"/>
        <v>-4</v>
      </c>
      <c r="H10" s="13">
        <v>46012.0</v>
      </c>
      <c r="I10" s="14" t="s">
        <v>33</v>
      </c>
      <c r="J10" s="13">
        <v>46020.0</v>
      </c>
      <c r="K10" s="7" t="s">
        <v>16</v>
      </c>
      <c r="L10" s="17"/>
    </row>
    <row r="11">
      <c r="A11" s="7">
        <v>10.0</v>
      </c>
      <c r="B11" s="8">
        <v>9.08312027E8</v>
      </c>
      <c r="C11" s="9" t="s">
        <v>15</v>
      </c>
      <c r="D11" s="10">
        <v>2.8228829E7</v>
      </c>
      <c r="E11" s="16">
        <v>1.0</v>
      </c>
      <c r="F11" s="11">
        <v>1.0</v>
      </c>
      <c r="G11" s="12">
        <f t="shared" si="1"/>
        <v>0</v>
      </c>
      <c r="H11" s="13">
        <v>46012.0</v>
      </c>
      <c r="I11" s="14" t="s">
        <v>33</v>
      </c>
      <c r="J11" s="13">
        <v>46020.0</v>
      </c>
      <c r="K11" s="7" t="s">
        <v>16</v>
      </c>
      <c r="L11" s="17"/>
    </row>
    <row r="12">
      <c r="A12" s="7">
        <v>11.0</v>
      </c>
      <c r="B12" s="8">
        <v>9.08202098E8</v>
      </c>
      <c r="C12" s="9" t="s">
        <v>22</v>
      </c>
      <c r="D12" s="10">
        <v>2.8228829E7</v>
      </c>
      <c r="E12" s="16">
        <v>2.0</v>
      </c>
      <c r="F12" s="11">
        <v>2.0</v>
      </c>
      <c r="G12" s="12">
        <f t="shared" si="1"/>
        <v>0</v>
      </c>
      <c r="H12" s="13">
        <v>46012.0</v>
      </c>
      <c r="I12" s="14" t="s">
        <v>33</v>
      </c>
      <c r="J12" s="13">
        <v>46020.0</v>
      </c>
      <c r="K12" s="7" t="s">
        <v>16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2.8228829E7</v>
      </c>
      <c r="E13" s="16">
        <v>6.0</v>
      </c>
      <c r="F13" s="11">
        <v>6.0</v>
      </c>
      <c r="G13" s="12">
        <f t="shared" si="1"/>
        <v>0</v>
      </c>
      <c r="H13" s="13">
        <v>46012.0</v>
      </c>
      <c r="I13" s="14" t="s">
        <v>33</v>
      </c>
      <c r="J13" s="13">
        <v>46020.0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6.75" customHeight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0.0" customHeight="1">
      <c r="A3" s="7">
        <v>1.0</v>
      </c>
      <c r="B3" s="20" t="s">
        <v>35</v>
      </c>
      <c r="C3" s="20" t="s">
        <v>36</v>
      </c>
      <c r="D3" s="7">
        <v>2.8366165E7</v>
      </c>
      <c r="E3" s="7">
        <v>2.0</v>
      </c>
      <c r="F3" s="11">
        <v>2.0</v>
      </c>
      <c r="G3" s="12">
        <f t="shared" ref="G3:G14" si="1">E3-F3</f>
        <v>0</v>
      </c>
      <c r="H3" s="21">
        <v>46030.0</v>
      </c>
      <c r="I3" s="9" t="s">
        <v>14</v>
      </c>
      <c r="J3" s="22">
        <v>46048.0</v>
      </c>
      <c r="K3" s="7" t="s">
        <v>37</v>
      </c>
      <c r="L3" s="9"/>
    </row>
    <row r="4" ht="30.0" customHeight="1">
      <c r="A4" s="7">
        <v>2.0</v>
      </c>
      <c r="B4" s="20">
        <v>9.08122039E8</v>
      </c>
      <c r="C4" s="20" t="s">
        <v>38</v>
      </c>
      <c r="D4" s="7">
        <v>2.8236086E7</v>
      </c>
      <c r="E4" s="7">
        <v>2.0</v>
      </c>
      <c r="F4" s="11"/>
      <c r="G4" s="12">
        <f t="shared" si="1"/>
        <v>2</v>
      </c>
      <c r="H4" s="21">
        <v>46021.0</v>
      </c>
      <c r="I4" s="9" t="s">
        <v>14</v>
      </c>
      <c r="J4" s="22"/>
      <c r="K4" s="7"/>
      <c r="L4" s="9"/>
    </row>
    <row r="5" ht="30.0" customHeight="1">
      <c r="A5" s="7">
        <v>3.0</v>
      </c>
      <c r="B5" s="20">
        <v>9.08202056E8</v>
      </c>
      <c r="C5" s="20" t="s">
        <v>39</v>
      </c>
      <c r="D5" s="7">
        <v>2.8236086E7</v>
      </c>
      <c r="E5" s="7">
        <v>1.0</v>
      </c>
      <c r="F5" s="11">
        <v>1.0</v>
      </c>
      <c r="G5" s="12">
        <f t="shared" si="1"/>
        <v>0</v>
      </c>
      <c r="H5" s="21">
        <v>46021.0</v>
      </c>
      <c r="I5" s="9" t="s">
        <v>14</v>
      </c>
      <c r="J5" s="22">
        <v>46048.0</v>
      </c>
      <c r="K5" s="7" t="s">
        <v>37</v>
      </c>
      <c r="L5" s="17"/>
    </row>
    <row r="6" ht="49.5" customHeight="1">
      <c r="A6" s="7">
        <v>4.0</v>
      </c>
      <c r="B6" s="23" t="s">
        <v>40</v>
      </c>
      <c r="C6" s="20" t="s">
        <v>41</v>
      </c>
      <c r="D6" s="7">
        <v>2.8236086E7</v>
      </c>
      <c r="E6" s="7">
        <v>3.0</v>
      </c>
      <c r="F6" s="11"/>
      <c r="G6" s="12">
        <f t="shared" si="1"/>
        <v>3</v>
      </c>
      <c r="H6" s="21">
        <v>46021.0</v>
      </c>
      <c r="I6" s="9" t="s">
        <v>14</v>
      </c>
      <c r="J6" s="22"/>
      <c r="K6" s="7"/>
      <c r="L6" s="17"/>
    </row>
    <row r="7" ht="30.0" customHeight="1">
      <c r="A7" s="7">
        <v>5.0</v>
      </c>
      <c r="B7" s="20">
        <v>9.05743739E8</v>
      </c>
      <c r="C7" s="20" t="s">
        <v>42</v>
      </c>
      <c r="D7" s="7">
        <v>2.8236086E7</v>
      </c>
      <c r="E7" s="7">
        <v>6.0</v>
      </c>
      <c r="F7" s="11"/>
      <c r="G7" s="12">
        <f t="shared" si="1"/>
        <v>6</v>
      </c>
      <c r="H7" s="21">
        <v>46021.0</v>
      </c>
      <c r="I7" s="9" t="s">
        <v>14</v>
      </c>
      <c r="J7" s="22"/>
      <c r="K7" s="7"/>
      <c r="L7" s="17"/>
    </row>
    <row r="8" ht="30.0" customHeight="1">
      <c r="A8" s="7">
        <v>6.0</v>
      </c>
      <c r="B8" s="20" t="s">
        <v>20</v>
      </c>
      <c r="C8" s="20" t="s">
        <v>21</v>
      </c>
      <c r="D8" s="7">
        <v>2.8236086E7</v>
      </c>
      <c r="E8" s="7">
        <v>3.0</v>
      </c>
      <c r="F8" s="11">
        <v>3.0</v>
      </c>
      <c r="G8" s="12">
        <f t="shared" si="1"/>
        <v>0</v>
      </c>
      <c r="H8" s="21">
        <v>46021.0</v>
      </c>
      <c r="I8" s="9" t="s">
        <v>14</v>
      </c>
      <c r="J8" s="22">
        <v>46048.0</v>
      </c>
      <c r="K8" s="7" t="s">
        <v>37</v>
      </c>
      <c r="L8" s="17"/>
    </row>
    <row r="9" ht="30.0" customHeight="1">
      <c r="A9" s="7">
        <v>7.0</v>
      </c>
      <c r="B9" s="20">
        <v>9.05708973E8</v>
      </c>
      <c r="C9" s="20" t="s">
        <v>43</v>
      </c>
      <c r="D9" s="7">
        <v>2.8366165E7</v>
      </c>
      <c r="E9" s="7">
        <v>1.0</v>
      </c>
      <c r="F9" s="11">
        <v>1.0</v>
      </c>
      <c r="G9" s="12">
        <f t="shared" si="1"/>
        <v>0</v>
      </c>
      <c r="H9" s="21">
        <v>46036.0</v>
      </c>
      <c r="I9" s="9" t="s">
        <v>14</v>
      </c>
      <c r="J9" s="22">
        <v>46048.0</v>
      </c>
      <c r="K9" s="7" t="s">
        <v>37</v>
      </c>
      <c r="L9" s="17"/>
    </row>
    <row r="10" ht="53.25" customHeight="1">
      <c r="A10" s="7">
        <v>8.0</v>
      </c>
      <c r="B10" s="23" t="s">
        <v>44</v>
      </c>
      <c r="C10" s="20" t="s">
        <v>45</v>
      </c>
      <c r="D10" s="7">
        <v>2.8236086E7</v>
      </c>
      <c r="E10" s="7">
        <v>3.0</v>
      </c>
      <c r="F10" s="11">
        <v>6.0</v>
      </c>
      <c r="G10" s="12">
        <f t="shared" si="1"/>
        <v>-3</v>
      </c>
      <c r="H10" s="21">
        <v>46012.0</v>
      </c>
      <c r="I10" s="9" t="s">
        <v>14</v>
      </c>
      <c r="J10" s="22"/>
      <c r="K10" s="7"/>
      <c r="L10" s="24"/>
    </row>
    <row r="11" ht="43.5" customHeight="1">
      <c r="A11" s="7">
        <v>9.0</v>
      </c>
      <c r="B11" s="23" t="s">
        <v>46</v>
      </c>
      <c r="C11" s="20" t="s">
        <v>47</v>
      </c>
      <c r="D11" s="7">
        <v>2.8236086E7</v>
      </c>
      <c r="E11" s="7">
        <v>3.0</v>
      </c>
      <c r="F11" s="11"/>
      <c r="G11" s="12">
        <f t="shared" si="1"/>
        <v>3</v>
      </c>
      <c r="H11" s="21">
        <v>46021.0</v>
      </c>
      <c r="I11" s="9" t="s">
        <v>14</v>
      </c>
      <c r="J11" s="22"/>
      <c r="K11" s="7"/>
      <c r="L11" s="17"/>
    </row>
    <row r="12" ht="30.0" customHeight="1">
      <c r="A12" s="7">
        <v>10.0</v>
      </c>
      <c r="B12" s="20">
        <v>9.05728003E8</v>
      </c>
      <c r="C12" s="20" t="s">
        <v>48</v>
      </c>
      <c r="D12" s="7">
        <v>2.8236086E7</v>
      </c>
      <c r="E12" s="7">
        <v>3.0</v>
      </c>
      <c r="F12" s="11"/>
      <c r="G12" s="12">
        <f t="shared" si="1"/>
        <v>3</v>
      </c>
      <c r="H12" s="21">
        <v>46012.0</v>
      </c>
      <c r="I12" s="9" t="s">
        <v>14</v>
      </c>
      <c r="J12" s="22"/>
      <c r="K12" s="7"/>
      <c r="L12" s="17"/>
    </row>
    <row r="13" ht="30.0" customHeight="1">
      <c r="A13" s="7">
        <v>11.0</v>
      </c>
      <c r="B13" s="20">
        <v>9.05728005E8</v>
      </c>
      <c r="C13" s="20" t="s">
        <v>49</v>
      </c>
      <c r="D13" s="7"/>
      <c r="E13" s="7"/>
      <c r="F13" s="11"/>
      <c r="G13" s="12">
        <f t="shared" si="1"/>
        <v>0</v>
      </c>
      <c r="H13" s="21"/>
      <c r="I13" s="9"/>
      <c r="J13" s="22"/>
      <c r="K13" s="7"/>
      <c r="L13" s="17"/>
    </row>
    <row r="14" ht="30.0" customHeight="1">
      <c r="A14" s="7">
        <v>12.0</v>
      </c>
      <c r="B14" s="20">
        <v>9.05759635E8</v>
      </c>
      <c r="C14" s="20" t="s">
        <v>50</v>
      </c>
      <c r="D14" s="7">
        <v>2.8236086E7</v>
      </c>
      <c r="E14" s="7">
        <v>3.0</v>
      </c>
      <c r="F14" s="11"/>
      <c r="G14" s="12">
        <f t="shared" si="1"/>
        <v>3</v>
      </c>
      <c r="H14" s="21">
        <v>46012.0</v>
      </c>
      <c r="I14" s="9" t="s">
        <v>14</v>
      </c>
      <c r="J14" s="22"/>
      <c r="K14" s="7"/>
      <c r="L14" s="17"/>
    </row>
    <row r="15" ht="30.0" customHeight="1">
      <c r="A15" s="7">
        <v>13.0</v>
      </c>
      <c r="B15" s="20">
        <v>9.0577328E8</v>
      </c>
      <c r="C15" s="20" t="s">
        <v>51</v>
      </c>
      <c r="D15" s="7"/>
      <c r="E15" s="7"/>
      <c r="F15" s="11"/>
      <c r="G15" s="12"/>
      <c r="H15" s="21"/>
      <c r="I15" s="9"/>
      <c r="J15" s="22"/>
      <c r="K15" s="7"/>
      <c r="L15" s="17"/>
    </row>
    <row r="16" ht="44.25" customHeight="1">
      <c r="A16" s="7">
        <v>14.0</v>
      </c>
      <c r="B16" s="23" t="s">
        <v>52</v>
      </c>
      <c r="C16" s="20" t="s">
        <v>53</v>
      </c>
      <c r="D16" s="7">
        <v>2.8236086E7</v>
      </c>
      <c r="E16" s="7">
        <v>3.0</v>
      </c>
      <c r="F16" s="11">
        <v>3.0</v>
      </c>
      <c r="G16" s="12">
        <f t="shared" ref="G16:G25" si="2">E16-F16</f>
        <v>0</v>
      </c>
      <c r="H16" s="21">
        <v>46012.0</v>
      </c>
      <c r="I16" s="9" t="s">
        <v>14</v>
      </c>
      <c r="J16" s="22">
        <v>46048.0</v>
      </c>
      <c r="K16" s="7" t="s">
        <v>37</v>
      </c>
      <c r="L16" s="17"/>
    </row>
    <row r="17" ht="30.0" customHeight="1">
      <c r="A17" s="7">
        <v>15.0</v>
      </c>
      <c r="B17" s="20">
        <v>9.08513025E8</v>
      </c>
      <c r="C17" s="20" t="s">
        <v>54</v>
      </c>
      <c r="D17" s="7">
        <v>2.8236086E7</v>
      </c>
      <c r="E17" s="7">
        <v>1.0</v>
      </c>
      <c r="F17" s="11">
        <v>1.0</v>
      </c>
      <c r="G17" s="12">
        <f t="shared" si="2"/>
        <v>0</v>
      </c>
      <c r="H17" s="21">
        <v>46016.0</v>
      </c>
      <c r="I17" s="9" t="s">
        <v>14</v>
      </c>
      <c r="J17" s="22">
        <v>46048.0</v>
      </c>
      <c r="K17" s="7" t="s">
        <v>37</v>
      </c>
      <c r="L17" s="17"/>
    </row>
    <row r="18" ht="30.0" customHeight="1">
      <c r="A18" s="7">
        <v>16.0</v>
      </c>
      <c r="B18" s="8">
        <v>9.08202189E8</v>
      </c>
      <c r="C18" s="9" t="s">
        <v>55</v>
      </c>
      <c r="D18" s="7">
        <v>2.8236086E7</v>
      </c>
      <c r="E18" s="7">
        <v>5.0</v>
      </c>
      <c r="F18" s="11">
        <v>5.0</v>
      </c>
      <c r="G18" s="12">
        <f t="shared" si="2"/>
        <v>0</v>
      </c>
      <c r="H18" s="21">
        <v>46012.0</v>
      </c>
      <c r="I18" s="9" t="s">
        <v>14</v>
      </c>
      <c r="J18" s="22">
        <v>46048.0</v>
      </c>
      <c r="K18" s="7" t="s">
        <v>37</v>
      </c>
      <c r="L18" s="17"/>
    </row>
    <row r="19" ht="30.0" customHeight="1">
      <c r="A19" s="7">
        <v>17.0</v>
      </c>
      <c r="B19" s="8">
        <v>9.08111003E8</v>
      </c>
      <c r="C19" s="9" t="s">
        <v>56</v>
      </c>
      <c r="D19" s="7">
        <v>2.8366165E7</v>
      </c>
      <c r="E19" s="7">
        <v>10.0</v>
      </c>
      <c r="F19" s="11"/>
      <c r="G19" s="12">
        <f t="shared" si="2"/>
        <v>10</v>
      </c>
      <c r="H19" s="21">
        <v>46030.0</v>
      </c>
      <c r="I19" s="9" t="s">
        <v>14</v>
      </c>
      <c r="J19" s="22"/>
      <c r="K19" s="7"/>
      <c r="L19" s="17"/>
    </row>
    <row r="20" ht="30.0" customHeight="1">
      <c r="A20" s="7">
        <v>18.0</v>
      </c>
      <c r="B20" s="8">
        <v>9.05728066E8</v>
      </c>
      <c r="C20" s="9" t="s">
        <v>57</v>
      </c>
      <c r="D20" s="7">
        <v>2.8366165E7</v>
      </c>
      <c r="E20" s="7">
        <v>30.0</v>
      </c>
      <c r="F20" s="11"/>
      <c r="G20" s="12">
        <f t="shared" si="2"/>
        <v>30</v>
      </c>
      <c r="H20" s="21">
        <v>46030.0</v>
      </c>
      <c r="I20" s="9" t="s">
        <v>14</v>
      </c>
      <c r="J20" s="22"/>
      <c r="K20" s="7"/>
      <c r="L20" s="17"/>
    </row>
    <row r="21" ht="30.0" customHeight="1">
      <c r="A21" s="7">
        <v>20.0</v>
      </c>
      <c r="B21" s="8">
        <v>9.08111102E8</v>
      </c>
      <c r="C21" s="20" t="s">
        <v>58</v>
      </c>
      <c r="D21" s="7">
        <v>2.8366165E7</v>
      </c>
      <c r="E21" s="7">
        <v>15.0</v>
      </c>
      <c r="F21" s="11">
        <v>15.0</v>
      </c>
      <c r="G21" s="12">
        <f t="shared" si="2"/>
        <v>0</v>
      </c>
      <c r="H21" s="21">
        <v>46030.0</v>
      </c>
      <c r="I21" s="9" t="s">
        <v>14</v>
      </c>
      <c r="J21" s="22">
        <v>46048.0</v>
      </c>
      <c r="K21" s="7" t="s">
        <v>37</v>
      </c>
      <c r="L21" s="17"/>
    </row>
    <row r="22" ht="30.0" customHeight="1">
      <c r="A22" s="7">
        <v>21.0</v>
      </c>
      <c r="B22" s="19">
        <v>9.0820203E8</v>
      </c>
      <c r="C22" s="20" t="s">
        <v>19</v>
      </c>
      <c r="D22" s="7">
        <v>2.8236086E7</v>
      </c>
      <c r="E22" s="7">
        <v>1.0</v>
      </c>
      <c r="F22" s="11">
        <v>1.0</v>
      </c>
      <c r="G22" s="12">
        <f t="shared" si="2"/>
        <v>0</v>
      </c>
      <c r="H22" s="21">
        <v>46021.0</v>
      </c>
      <c r="I22" s="9" t="s">
        <v>14</v>
      </c>
      <c r="J22" s="22">
        <v>46048.0</v>
      </c>
      <c r="K22" s="7" t="s">
        <v>37</v>
      </c>
      <c r="L22" s="17"/>
    </row>
    <row r="23" ht="30.0" customHeight="1">
      <c r="A23" s="7">
        <v>22.0</v>
      </c>
      <c r="B23" s="19">
        <v>9.08501008E8</v>
      </c>
      <c r="C23" s="20" t="s">
        <v>59</v>
      </c>
      <c r="D23" s="7">
        <v>2.8236086E7</v>
      </c>
      <c r="E23" s="7">
        <v>3.0</v>
      </c>
      <c r="F23" s="11">
        <v>3.0</v>
      </c>
      <c r="G23" s="12">
        <f t="shared" si="2"/>
        <v>0</v>
      </c>
      <c r="H23" s="21">
        <v>46021.0</v>
      </c>
      <c r="I23" s="9" t="s">
        <v>14</v>
      </c>
      <c r="J23" s="22">
        <v>46048.0</v>
      </c>
      <c r="K23" s="7" t="s">
        <v>37</v>
      </c>
      <c r="L23" s="17"/>
    </row>
    <row r="24" ht="48.0" customHeight="1">
      <c r="A24" s="7">
        <v>23.0</v>
      </c>
      <c r="B24" s="19">
        <v>9.08111101E8</v>
      </c>
      <c r="C24" s="20" t="s">
        <v>24</v>
      </c>
      <c r="D24" s="7">
        <v>2.8366165E7</v>
      </c>
      <c r="E24" s="7">
        <v>2.0</v>
      </c>
      <c r="F24" s="11">
        <v>2.0</v>
      </c>
      <c r="G24" s="12">
        <f t="shared" si="2"/>
        <v>0</v>
      </c>
      <c r="H24" s="21">
        <v>46030.0</v>
      </c>
      <c r="I24" s="9" t="s">
        <v>14</v>
      </c>
      <c r="J24" s="22">
        <v>46048.0</v>
      </c>
      <c r="K24" s="7" t="s">
        <v>37</v>
      </c>
      <c r="L24" s="17"/>
    </row>
    <row r="25" ht="30.0" customHeight="1">
      <c r="A25" s="7">
        <v>24.0</v>
      </c>
      <c r="B25" s="19">
        <v>9.0811101E8</v>
      </c>
      <c r="C25" s="20" t="s">
        <v>60</v>
      </c>
      <c r="D25" s="7"/>
      <c r="E25" s="7"/>
      <c r="F25" s="11">
        <v>15.0</v>
      </c>
      <c r="G25" s="12">
        <f t="shared" si="2"/>
        <v>-15</v>
      </c>
      <c r="H25" s="21"/>
      <c r="I25" s="9"/>
      <c r="J25" s="22">
        <v>46048.0</v>
      </c>
      <c r="K25" s="7" t="s">
        <v>37</v>
      </c>
      <c r="L25" s="17"/>
    </row>
    <row r="26" ht="30.0" customHeight="1"/>
    <row r="27" ht="30.0" customHeight="1"/>
    <row r="28" ht="30.0" customHeight="1">
      <c r="A28" s="4" t="s">
        <v>1</v>
      </c>
      <c r="B28" s="5" t="s">
        <v>2</v>
      </c>
      <c r="C28" s="4" t="s">
        <v>3</v>
      </c>
      <c r="D28" s="4" t="s">
        <v>5</v>
      </c>
      <c r="E28" s="25" t="s">
        <v>8</v>
      </c>
      <c r="F28" s="3"/>
      <c r="G28" s="25" t="s">
        <v>11</v>
      </c>
      <c r="H28" s="3"/>
    </row>
    <row r="29" ht="30.0" customHeight="1">
      <c r="A29" s="7">
        <v>1.0</v>
      </c>
      <c r="B29" s="19">
        <v>9.08513024E8</v>
      </c>
      <c r="C29" s="20" t="s">
        <v>61</v>
      </c>
      <c r="D29" s="7">
        <v>1.0</v>
      </c>
      <c r="E29" s="26">
        <v>46048.0</v>
      </c>
      <c r="F29" s="27"/>
      <c r="G29" s="28" t="s">
        <v>37</v>
      </c>
      <c r="H29" s="27"/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A1:L1"/>
    <mergeCell ref="E28:F28"/>
    <mergeCell ref="G28:H28"/>
    <mergeCell ref="E29:F29"/>
    <mergeCell ref="G29:H29"/>
  </mergeCells>
  <printOptions/>
  <pageMargins bottom="0.75" footer="0.0" header="0.0" left="0.7" right="0.7" top="0.75"/>
  <pageSetup scale="2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2.8253534E7</v>
      </c>
      <c r="E3" s="7">
        <v>3.0</v>
      </c>
      <c r="F3" s="11">
        <v>2.0</v>
      </c>
      <c r="G3" s="12">
        <f t="shared" ref="G3:G23" si="1">E3-F3</f>
        <v>1</v>
      </c>
      <c r="H3" s="13">
        <v>46014.0</v>
      </c>
      <c r="I3" s="14" t="s">
        <v>14</v>
      </c>
      <c r="J3" s="15">
        <v>46031.0</v>
      </c>
      <c r="K3" s="7" t="s">
        <v>63</v>
      </c>
      <c r="L3" s="9"/>
    </row>
    <row r="4">
      <c r="A4" s="7">
        <v>2.0</v>
      </c>
      <c r="B4" s="8">
        <v>9.08312027E8</v>
      </c>
      <c r="C4" s="9" t="s">
        <v>15</v>
      </c>
      <c r="D4" s="10">
        <v>2.8253534E7</v>
      </c>
      <c r="E4" s="7">
        <v>1.0</v>
      </c>
      <c r="F4" s="11">
        <v>1.0</v>
      </c>
      <c r="G4" s="12">
        <f t="shared" si="1"/>
        <v>0</v>
      </c>
      <c r="H4" s="13">
        <v>46022.0</v>
      </c>
      <c r="I4" s="14" t="s">
        <v>14</v>
      </c>
      <c r="J4" s="15">
        <v>46031.0</v>
      </c>
      <c r="K4" s="7" t="s">
        <v>63</v>
      </c>
      <c r="L4" s="9"/>
    </row>
    <row r="5">
      <c r="A5" s="7">
        <v>3.0</v>
      </c>
      <c r="B5" s="8">
        <v>9.08569114E8</v>
      </c>
      <c r="C5" s="9" t="s">
        <v>64</v>
      </c>
      <c r="D5" s="10">
        <v>2.8253534E7</v>
      </c>
      <c r="E5" s="7">
        <v>1.0</v>
      </c>
      <c r="F5" s="11">
        <v>1.0</v>
      </c>
      <c r="G5" s="12">
        <f t="shared" si="1"/>
        <v>0</v>
      </c>
      <c r="H5" s="13">
        <v>46022.0</v>
      </c>
      <c r="I5" s="14" t="s">
        <v>14</v>
      </c>
      <c r="J5" s="15">
        <v>46031.0</v>
      </c>
      <c r="K5" s="7" t="s">
        <v>63</v>
      </c>
      <c r="L5" s="9"/>
    </row>
    <row r="6">
      <c r="A6" s="7">
        <v>4.0</v>
      </c>
      <c r="B6" s="8">
        <v>9.08121008E8</v>
      </c>
      <c r="C6" s="9" t="s">
        <v>17</v>
      </c>
      <c r="D6" s="10">
        <v>2.8253534E7</v>
      </c>
      <c r="E6" s="7">
        <v>3.0</v>
      </c>
      <c r="F6" s="11">
        <v>3.0</v>
      </c>
      <c r="G6" s="12">
        <f t="shared" si="1"/>
        <v>0</v>
      </c>
      <c r="H6" s="13">
        <v>46021.0</v>
      </c>
      <c r="I6" s="14" t="s">
        <v>14</v>
      </c>
      <c r="J6" s="15">
        <v>46032.0</v>
      </c>
      <c r="K6" s="7" t="s">
        <v>63</v>
      </c>
      <c r="L6" s="9"/>
    </row>
    <row r="7">
      <c r="A7" s="7">
        <v>5.0</v>
      </c>
      <c r="B7" s="8">
        <v>9.08121009E8</v>
      </c>
      <c r="C7" s="9" t="s">
        <v>65</v>
      </c>
      <c r="D7" s="10">
        <v>2.8253534E7</v>
      </c>
      <c r="E7" s="7">
        <v>1.0</v>
      </c>
      <c r="F7" s="11">
        <v>1.0</v>
      </c>
      <c r="G7" s="12">
        <f t="shared" si="1"/>
        <v>0</v>
      </c>
      <c r="H7" s="13">
        <v>46021.0</v>
      </c>
      <c r="I7" s="14" t="s">
        <v>14</v>
      </c>
      <c r="J7" s="15">
        <v>46032.0</v>
      </c>
      <c r="K7" s="7" t="s">
        <v>63</v>
      </c>
      <c r="L7" s="9"/>
    </row>
    <row r="8">
      <c r="A8" s="7">
        <v>6.0</v>
      </c>
      <c r="B8" s="8">
        <v>9.0812101E8</v>
      </c>
      <c r="C8" s="9" t="s">
        <v>18</v>
      </c>
      <c r="D8" s="10">
        <v>2.8253534E7</v>
      </c>
      <c r="E8" s="7">
        <v>2.0</v>
      </c>
      <c r="F8" s="11">
        <v>2.0</v>
      </c>
      <c r="G8" s="12">
        <f t="shared" si="1"/>
        <v>0</v>
      </c>
      <c r="H8" s="13">
        <v>46021.0</v>
      </c>
      <c r="I8" s="14" t="s">
        <v>14</v>
      </c>
      <c r="J8" s="15">
        <v>46032.0</v>
      </c>
      <c r="K8" s="7" t="s">
        <v>63</v>
      </c>
      <c r="L8" s="9"/>
    </row>
    <row r="9">
      <c r="A9" s="7">
        <v>7.0</v>
      </c>
      <c r="B9" s="8">
        <v>9.0812104E8</v>
      </c>
      <c r="C9" s="29" t="s">
        <v>66</v>
      </c>
      <c r="D9" s="10">
        <v>2.8253534E7</v>
      </c>
      <c r="E9" s="7">
        <v>2.0</v>
      </c>
      <c r="F9" s="11">
        <v>2.0</v>
      </c>
      <c r="G9" s="12">
        <f t="shared" si="1"/>
        <v>0</v>
      </c>
      <c r="H9" s="13">
        <v>46021.0</v>
      </c>
      <c r="I9" s="14" t="s">
        <v>14</v>
      </c>
      <c r="J9" s="15">
        <v>46061.0</v>
      </c>
      <c r="K9" s="7" t="s">
        <v>63</v>
      </c>
      <c r="L9" s="9"/>
    </row>
    <row r="10">
      <c r="A10" s="7">
        <v>8.0</v>
      </c>
      <c r="B10" s="8">
        <v>9.08121144E8</v>
      </c>
      <c r="C10" s="29" t="s">
        <v>66</v>
      </c>
      <c r="D10" s="10">
        <v>2.8253534E7</v>
      </c>
      <c r="E10" s="7">
        <v>2.0</v>
      </c>
      <c r="F10" s="11">
        <v>6.0</v>
      </c>
      <c r="G10" s="12">
        <f t="shared" si="1"/>
        <v>-4</v>
      </c>
      <c r="H10" s="13">
        <v>46021.0</v>
      </c>
      <c r="I10" s="14" t="s">
        <v>14</v>
      </c>
      <c r="J10" s="15"/>
      <c r="K10" s="7"/>
      <c r="L10" s="9"/>
    </row>
    <row r="11">
      <c r="A11" s="7">
        <v>9.0</v>
      </c>
      <c r="B11" s="8">
        <v>9.0812115E8</v>
      </c>
      <c r="C11" s="9" t="s">
        <v>67</v>
      </c>
      <c r="D11" s="10">
        <v>2.8253534E7</v>
      </c>
      <c r="E11" s="7">
        <v>3.0</v>
      </c>
      <c r="F11" s="11">
        <v>2.0</v>
      </c>
      <c r="G11" s="12">
        <f t="shared" si="1"/>
        <v>1</v>
      </c>
      <c r="H11" s="13">
        <v>46021.0</v>
      </c>
      <c r="I11" s="14" t="s">
        <v>14</v>
      </c>
      <c r="J11" s="30" t="s">
        <v>68</v>
      </c>
      <c r="K11" s="7" t="s">
        <v>63</v>
      </c>
      <c r="L11" s="9"/>
    </row>
    <row r="12">
      <c r="A12" s="7">
        <v>10.0</v>
      </c>
      <c r="B12" s="8">
        <v>9.0820203E8</v>
      </c>
      <c r="C12" s="9" t="s">
        <v>19</v>
      </c>
      <c r="D12" s="10">
        <v>2.8253534E7</v>
      </c>
      <c r="E12" s="7">
        <v>2.0</v>
      </c>
      <c r="F12" s="11"/>
      <c r="G12" s="12">
        <f t="shared" si="1"/>
        <v>2</v>
      </c>
      <c r="H12" s="13">
        <v>46021.0</v>
      </c>
      <c r="I12" s="14" t="s">
        <v>14</v>
      </c>
      <c r="J12" s="15"/>
      <c r="K12" s="7"/>
      <c r="L12" s="9"/>
    </row>
    <row r="13">
      <c r="A13" s="7">
        <v>11.0</v>
      </c>
      <c r="B13" s="8" t="s">
        <v>20</v>
      </c>
      <c r="C13" s="9" t="s">
        <v>21</v>
      </c>
      <c r="D13" s="10">
        <v>2.8253534E7</v>
      </c>
      <c r="E13" s="7">
        <v>2.0</v>
      </c>
      <c r="F13" s="11">
        <v>2.0</v>
      </c>
      <c r="G13" s="12">
        <f t="shared" si="1"/>
        <v>0</v>
      </c>
      <c r="H13" s="13">
        <v>46021.0</v>
      </c>
      <c r="I13" s="14" t="s">
        <v>14</v>
      </c>
      <c r="J13" s="15">
        <v>46031.0</v>
      </c>
      <c r="K13" s="7" t="s">
        <v>63</v>
      </c>
      <c r="L13" s="9"/>
    </row>
    <row r="14">
      <c r="A14" s="7">
        <v>12.0</v>
      </c>
      <c r="B14" s="8">
        <v>9.08202098E8</v>
      </c>
      <c r="C14" s="9" t="s">
        <v>22</v>
      </c>
      <c r="D14" s="10">
        <v>2.8253534E7</v>
      </c>
      <c r="E14" s="7">
        <v>2.0</v>
      </c>
      <c r="F14" s="11">
        <v>2.0</v>
      </c>
      <c r="G14" s="12">
        <f t="shared" si="1"/>
        <v>0</v>
      </c>
      <c r="H14" s="13">
        <v>46021.0</v>
      </c>
      <c r="I14" s="14" t="s">
        <v>14</v>
      </c>
      <c r="J14" s="15">
        <v>46031.0</v>
      </c>
      <c r="K14" s="7" t="s">
        <v>63</v>
      </c>
      <c r="L14" s="9"/>
    </row>
    <row r="15">
      <c r="A15" s="7">
        <v>13.0</v>
      </c>
      <c r="B15" s="8" t="s">
        <v>25</v>
      </c>
      <c r="C15" s="9" t="s">
        <v>26</v>
      </c>
      <c r="D15" s="10">
        <v>2.8253534E7</v>
      </c>
      <c r="E15" s="7">
        <v>148.0</v>
      </c>
      <c r="F15" s="11">
        <v>148.0</v>
      </c>
      <c r="G15" s="12">
        <f t="shared" si="1"/>
        <v>0</v>
      </c>
      <c r="H15" s="13">
        <v>46035.0</v>
      </c>
      <c r="I15" s="14" t="s">
        <v>14</v>
      </c>
      <c r="J15" s="15">
        <v>46032.0</v>
      </c>
      <c r="K15" s="7" t="s">
        <v>63</v>
      </c>
      <c r="L15" s="9"/>
    </row>
    <row r="16">
      <c r="A16" s="7">
        <v>14.0</v>
      </c>
      <c r="B16" s="8" t="s">
        <v>27</v>
      </c>
      <c r="C16" s="9" t="s">
        <v>28</v>
      </c>
      <c r="D16" s="10">
        <v>2.8253534E7</v>
      </c>
      <c r="E16" s="7">
        <v>68.0</v>
      </c>
      <c r="F16" s="11">
        <v>68.0</v>
      </c>
      <c r="G16" s="12">
        <f t="shared" si="1"/>
        <v>0</v>
      </c>
      <c r="H16" s="13">
        <v>46035.0</v>
      </c>
      <c r="I16" s="14" t="s">
        <v>14</v>
      </c>
      <c r="J16" s="15">
        <v>46032.0</v>
      </c>
      <c r="K16" s="7" t="s">
        <v>63</v>
      </c>
      <c r="L16" s="9"/>
    </row>
    <row r="17">
      <c r="A17" s="7">
        <v>15.0</v>
      </c>
      <c r="B17" s="8">
        <v>9.08114004E8</v>
      </c>
      <c r="C17" s="9" t="s">
        <v>69</v>
      </c>
      <c r="D17" s="10">
        <v>2.8253534E7</v>
      </c>
      <c r="E17" s="7">
        <v>20.0</v>
      </c>
      <c r="F17" s="11">
        <v>27.0</v>
      </c>
      <c r="G17" s="12">
        <f t="shared" si="1"/>
        <v>-7</v>
      </c>
      <c r="H17" s="13">
        <v>46036.0</v>
      </c>
      <c r="I17" s="14" t="s">
        <v>14</v>
      </c>
      <c r="J17" s="15">
        <v>46062.0</v>
      </c>
      <c r="K17" s="7" t="s">
        <v>63</v>
      </c>
      <c r="L17" s="9"/>
    </row>
    <row r="18">
      <c r="A18" s="7">
        <v>16.0</v>
      </c>
      <c r="B18" s="8">
        <v>9.08113004E8</v>
      </c>
      <c r="C18" s="9" t="s">
        <v>70</v>
      </c>
      <c r="D18" s="10">
        <v>2.8253534E7</v>
      </c>
      <c r="E18" s="7">
        <v>8.0</v>
      </c>
      <c r="F18" s="11"/>
      <c r="G18" s="12">
        <f t="shared" si="1"/>
        <v>8</v>
      </c>
      <c r="H18" s="13">
        <v>46036.0</v>
      </c>
      <c r="I18" s="14" t="s">
        <v>14</v>
      </c>
      <c r="J18" s="15"/>
      <c r="K18" s="7"/>
      <c r="L18" s="9"/>
    </row>
    <row r="19">
      <c r="A19" s="7">
        <v>17.0</v>
      </c>
      <c r="B19" s="8">
        <v>9.08111006E8</v>
      </c>
      <c r="C19" s="9" t="s">
        <v>71</v>
      </c>
      <c r="D19" s="10">
        <v>2.8253534E7</v>
      </c>
      <c r="E19" s="7">
        <v>24.0</v>
      </c>
      <c r="F19" s="11">
        <v>24.0</v>
      </c>
      <c r="G19" s="12">
        <f t="shared" si="1"/>
        <v>0</v>
      </c>
      <c r="H19" s="13">
        <v>46036.0</v>
      </c>
      <c r="I19" s="14" t="s">
        <v>14</v>
      </c>
      <c r="J19" s="15">
        <v>46032.0</v>
      </c>
      <c r="K19" s="7" t="s">
        <v>63</v>
      </c>
      <c r="L19" s="9"/>
    </row>
    <row r="20">
      <c r="A20" s="7">
        <v>18.0</v>
      </c>
      <c r="B20" s="19">
        <v>9.08111101E8</v>
      </c>
      <c r="C20" s="20" t="s">
        <v>24</v>
      </c>
      <c r="D20" s="10">
        <v>2.8253534E7</v>
      </c>
      <c r="E20" s="7">
        <v>6.0</v>
      </c>
      <c r="F20" s="11">
        <v>6.0</v>
      </c>
      <c r="G20" s="12">
        <f t="shared" si="1"/>
        <v>0</v>
      </c>
      <c r="H20" s="13">
        <v>46035.0</v>
      </c>
      <c r="I20" s="14" t="s">
        <v>14</v>
      </c>
      <c r="J20" s="15">
        <v>46031.0</v>
      </c>
      <c r="K20" s="7" t="s">
        <v>63</v>
      </c>
      <c r="L20" s="9"/>
    </row>
    <row r="21" ht="15.75" customHeight="1">
      <c r="A21" s="7">
        <v>19.0</v>
      </c>
      <c r="B21" s="19">
        <v>9.08122011E8</v>
      </c>
      <c r="C21" s="20" t="s">
        <v>23</v>
      </c>
      <c r="D21" s="10"/>
      <c r="E21" s="7"/>
      <c r="F21" s="11">
        <v>3.0</v>
      </c>
      <c r="G21" s="12">
        <f t="shared" si="1"/>
        <v>-3</v>
      </c>
      <c r="H21" s="13"/>
      <c r="I21" s="14"/>
      <c r="J21" s="15">
        <v>46032.0</v>
      </c>
      <c r="K21" s="7" t="s">
        <v>63</v>
      </c>
      <c r="L21" s="9"/>
    </row>
    <row r="22" ht="15.75" customHeight="1">
      <c r="A22" s="7">
        <v>20.0</v>
      </c>
      <c r="B22" s="19">
        <v>9.08111102E8</v>
      </c>
      <c r="C22" s="20" t="s">
        <v>58</v>
      </c>
      <c r="D22" s="10"/>
      <c r="E22" s="7"/>
      <c r="F22" s="11">
        <v>7.0</v>
      </c>
      <c r="G22" s="12">
        <f t="shared" si="1"/>
        <v>-7</v>
      </c>
      <c r="H22" s="13"/>
      <c r="I22" s="14"/>
      <c r="J22" s="15">
        <v>46061.0</v>
      </c>
      <c r="K22" s="7" t="s">
        <v>63</v>
      </c>
      <c r="L22" s="9"/>
    </row>
    <row r="23" ht="15.75" customHeight="1">
      <c r="A23" s="7">
        <v>21.0</v>
      </c>
      <c r="B23" s="19">
        <v>9.08121158E8</v>
      </c>
      <c r="C23" s="20" t="s">
        <v>72</v>
      </c>
      <c r="D23" s="10"/>
      <c r="E23" s="7"/>
      <c r="F23" s="11">
        <v>1.0</v>
      </c>
      <c r="G23" s="12">
        <f t="shared" si="1"/>
        <v>-1</v>
      </c>
      <c r="H23" s="13"/>
      <c r="I23" s="14"/>
      <c r="J23" s="15">
        <v>46062.0</v>
      </c>
      <c r="K23" s="7" t="s">
        <v>63</v>
      </c>
      <c r="L23" s="9"/>
    </row>
    <row r="24" ht="15.75" customHeight="1"/>
    <row r="25" ht="15.75" customHeight="1"/>
    <row r="26" ht="15.75" customHeight="1"/>
    <row r="27" ht="15.75" customHeight="1"/>
    <row r="28" ht="15.75" customHeight="1">
      <c r="A28" s="4" t="s">
        <v>1</v>
      </c>
      <c r="B28" s="5" t="s">
        <v>2</v>
      </c>
      <c r="C28" s="4" t="s">
        <v>73</v>
      </c>
      <c r="D28" s="4" t="s">
        <v>5</v>
      </c>
      <c r="E28" s="25" t="s">
        <v>8</v>
      </c>
      <c r="F28" s="3"/>
      <c r="G28" s="25" t="s">
        <v>11</v>
      </c>
      <c r="H28" s="3"/>
    </row>
    <row r="29" ht="15.75" customHeight="1">
      <c r="A29" s="7">
        <v>1.0</v>
      </c>
      <c r="B29" s="8">
        <v>9.08114004E8</v>
      </c>
      <c r="C29" s="9" t="s">
        <v>69</v>
      </c>
      <c r="D29" s="7">
        <f>1.5+1.5+1.5</f>
        <v>4.5</v>
      </c>
      <c r="E29" s="31">
        <v>46076.0</v>
      </c>
      <c r="F29" s="32"/>
      <c r="G29" s="31" t="s">
        <v>63</v>
      </c>
      <c r="H29" s="3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E28:F28"/>
    <mergeCell ref="G28:H28"/>
    <mergeCell ref="E29:F29"/>
    <mergeCell ref="G29:H29"/>
  </mergeCells>
  <printOptions/>
  <pageMargins bottom="0.75" footer="0.0" header="0.0" left="0.7" right="0.7" top="0.75"/>
  <pageSetup scale="2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20">
        <v>9.08121003E8</v>
      </c>
      <c r="C3" s="9" t="s">
        <v>75</v>
      </c>
      <c r="D3" s="10">
        <v>2.8220958E7</v>
      </c>
      <c r="E3" s="7">
        <v>2.0</v>
      </c>
      <c r="F3" s="11">
        <v>2.0</v>
      </c>
      <c r="G3" s="12">
        <f t="shared" ref="G3:G18" si="1">E3-F3</f>
        <v>0</v>
      </c>
      <c r="H3" s="13">
        <v>46005.0</v>
      </c>
      <c r="I3" s="14" t="s">
        <v>14</v>
      </c>
      <c r="J3" s="33">
        <v>46098.0</v>
      </c>
      <c r="K3" s="34" t="s">
        <v>76</v>
      </c>
      <c r="L3" s="35" t="s">
        <v>77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20">
        <v>9.08020201E8</v>
      </c>
      <c r="C4" s="9" t="s">
        <v>13</v>
      </c>
      <c r="D4" s="10"/>
      <c r="E4" s="7"/>
      <c r="F4" s="11"/>
      <c r="G4" s="12">
        <f t="shared" si="1"/>
        <v>0</v>
      </c>
      <c r="H4" s="13"/>
      <c r="I4" s="14"/>
      <c r="J4" s="15"/>
      <c r="K4" s="7"/>
      <c r="L4" s="9"/>
    </row>
    <row r="5">
      <c r="A5" s="7">
        <v>3.0</v>
      </c>
      <c r="B5" s="20">
        <v>9.0820203E8</v>
      </c>
      <c r="C5" s="9" t="s">
        <v>19</v>
      </c>
      <c r="D5" s="10">
        <v>2.8220958E7</v>
      </c>
      <c r="E5" s="7">
        <v>1.0</v>
      </c>
      <c r="F5" s="11">
        <v>1.0</v>
      </c>
      <c r="G5" s="12">
        <f t="shared" si="1"/>
        <v>0</v>
      </c>
      <c r="H5" s="13">
        <v>46005.0</v>
      </c>
      <c r="I5" s="14" t="s">
        <v>14</v>
      </c>
      <c r="J5" s="13">
        <v>46007.0</v>
      </c>
      <c r="K5" s="7" t="s">
        <v>16</v>
      </c>
      <c r="L5" s="9"/>
    </row>
    <row r="6">
      <c r="A6" s="7">
        <v>4.0</v>
      </c>
      <c r="B6" s="20">
        <v>9.08122005E8</v>
      </c>
      <c r="C6" s="9" t="s">
        <v>78</v>
      </c>
      <c r="D6" s="10">
        <v>2.8220958E7</v>
      </c>
      <c r="E6" s="7">
        <v>12.0</v>
      </c>
      <c r="F6" s="11">
        <v>12.0</v>
      </c>
      <c r="G6" s="12">
        <f t="shared" si="1"/>
        <v>0</v>
      </c>
      <c r="H6" s="13">
        <v>46005.0</v>
      </c>
      <c r="I6" s="14" t="s">
        <v>14</v>
      </c>
      <c r="J6" s="13">
        <v>46016.0</v>
      </c>
      <c r="K6" s="7" t="s">
        <v>16</v>
      </c>
      <c r="L6" s="9"/>
    </row>
    <row r="7">
      <c r="A7" s="7">
        <v>5.0</v>
      </c>
      <c r="B7" s="20">
        <v>9.08122008E8</v>
      </c>
      <c r="C7" s="9" t="s">
        <v>79</v>
      </c>
      <c r="D7" s="10">
        <v>2.8220958E7</v>
      </c>
      <c r="E7" s="7">
        <v>8.0</v>
      </c>
      <c r="F7" s="11"/>
      <c r="G7" s="12">
        <f t="shared" si="1"/>
        <v>8</v>
      </c>
      <c r="H7" s="13">
        <v>46005.0</v>
      </c>
      <c r="I7" s="14" t="s">
        <v>14</v>
      </c>
      <c r="J7" s="13"/>
      <c r="K7" s="7"/>
      <c r="L7" s="9"/>
    </row>
    <row r="8">
      <c r="A8" s="7">
        <v>6.0</v>
      </c>
      <c r="B8" s="20">
        <v>9.08122011E8</v>
      </c>
      <c r="C8" s="9" t="s">
        <v>80</v>
      </c>
      <c r="D8" s="10">
        <v>2.8220958E7</v>
      </c>
      <c r="E8" s="7">
        <v>12.0</v>
      </c>
      <c r="F8" s="11"/>
      <c r="G8" s="12">
        <f t="shared" si="1"/>
        <v>12</v>
      </c>
      <c r="H8" s="13">
        <v>46005.0</v>
      </c>
      <c r="I8" s="14" t="s">
        <v>14</v>
      </c>
      <c r="J8" s="13"/>
      <c r="K8" s="7"/>
      <c r="L8" s="9"/>
    </row>
    <row r="9">
      <c r="A9" s="7">
        <v>7.0</v>
      </c>
      <c r="B9" s="20">
        <v>9.08371003E8</v>
      </c>
      <c r="C9" s="20" t="s">
        <v>81</v>
      </c>
      <c r="D9" s="10">
        <v>2.8220958E7</v>
      </c>
      <c r="E9" s="7">
        <v>3.0</v>
      </c>
      <c r="F9" s="11">
        <v>3.0</v>
      </c>
      <c r="G9" s="12">
        <f t="shared" si="1"/>
        <v>0</v>
      </c>
      <c r="H9" s="13">
        <v>46005.0</v>
      </c>
      <c r="I9" s="14" t="s">
        <v>14</v>
      </c>
      <c r="J9" s="13">
        <v>46016.0</v>
      </c>
      <c r="K9" s="7" t="s">
        <v>16</v>
      </c>
      <c r="L9" s="9"/>
    </row>
    <row r="10">
      <c r="A10" s="7">
        <v>8.0</v>
      </c>
      <c r="B10" s="20">
        <v>9.08402206E8</v>
      </c>
      <c r="C10" s="9" t="s">
        <v>82</v>
      </c>
      <c r="D10" s="10">
        <v>2.8220958E7</v>
      </c>
      <c r="E10" s="7">
        <v>1.0</v>
      </c>
      <c r="F10" s="11">
        <v>6.0</v>
      </c>
      <c r="G10" s="12">
        <f t="shared" si="1"/>
        <v>-5</v>
      </c>
      <c r="H10" s="13">
        <v>46005.0</v>
      </c>
      <c r="I10" s="14" t="s">
        <v>14</v>
      </c>
      <c r="J10" s="13">
        <v>46007.0</v>
      </c>
      <c r="K10" s="7" t="s">
        <v>16</v>
      </c>
      <c r="L10" s="9"/>
    </row>
    <row r="11">
      <c r="A11" s="7">
        <v>9.0</v>
      </c>
      <c r="B11" s="20">
        <v>9.08202189E8</v>
      </c>
      <c r="C11" s="9" t="s">
        <v>55</v>
      </c>
      <c r="D11" s="10">
        <v>2.8220958E7</v>
      </c>
      <c r="E11" s="7">
        <v>1.0</v>
      </c>
      <c r="F11" s="11">
        <v>1.0</v>
      </c>
      <c r="G11" s="12">
        <f t="shared" si="1"/>
        <v>0</v>
      </c>
      <c r="H11" s="13">
        <v>46005.0</v>
      </c>
      <c r="I11" s="14" t="s">
        <v>14</v>
      </c>
      <c r="J11" s="13">
        <v>46007.0</v>
      </c>
      <c r="K11" s="7" t="s">
        <v>16</v>
      </c>
      <c r="L11" s="9"/>
    </row>
    <row r="12">
      <c r="A12" s="7">
        <v>10.0</v>
      </c>
      <c r="B12" s="20" t="s">
        <v>20</v>
      </c>
      <c r="C12" s="20" t="s">
        <v>21</v>
      </c>
      <c r="D12" s="10">
        <v>2.8220958E7</v>
      </c>
      <c r="E12" s="7">
        <v>1.0</v>
      </c>
      <c r="F12" s="11">
        <v>1.0</v>
      </c>
      <c r="G12" s="12">
        <f t="shared" si="1"/>
        <v>0</v>
      </c>
      <c r="H12" s="13">
        <v>46005.0</v>
      </c>
      <c r="I12" s="14" t="s">
        <v>14</v>
      </c>
      <c r="J12" s="13">
        <v>46007.0</v>
      </c>
      <c r="K12" s="7" t="s">
        <v>16</v>
      </c>
      <c r="L12" s="9"/>
    </row>
    <row r="13">
      <c r="A13" s="7">
        <v>11.0</v>
      </c>
      <c r="B13" s="20">
        <v>9.08111101E8</v>
      </c>
      <c r="C13" s="9" t="s">
        <v>24</v>
      </c>
      <c r="D13" s="10">
        <v>2.8220958E7</v>
      </c>
      <c r="E13" s="7">
        <v>2.0</v>
      </c>
      <c r="F13" s="11">
        <v>2.0</v>
      </c>
      <c r="G13" s="12">
        <f t="shared" si="1"/>
        <v>0</v>
      </c>
      <c r="H13" s="13">
        <v>46005.0</v>
      </c>
      <c r="I13" s="14" t="s">
        <v>14</v>
      </c>
      <c r="J13" s="13">
        <v>46007.0</v>
      </c>
      <c r="K13" s="7" t="s">
        <v>16</v>
      </c>
      <c r="L13" s="9"/>
    </row>
    <row r="14">
      <c r="A14" s="7">
        <v>12.0</v>
      </c>
      <c r="B14" s="20">
        <v>9.08501007E8</v>
      </c>
      <c r="C14" s="9" t="s">
        <v>83</v>
      </c>
      <c r="D14" s="10">
        <v>2.8220958E7</v>
      </c>
      <c r="E14" s="7">
        <v>3.0</v>
      </c>
      <c r="F14" s="11">
        <v>3.0</v>
      </c>
      <c r="G14" s="12">
        <f t="shared" si="1"/>
        <v>0</v>
      </c>
      <c r="H14" s="13">
        <v>46005.0</v>
      </c>
      <c r="I14" s="14" t="s">
        <v>14</v>
      </c>
      <c r="J14" s="37">
        <v>46127.0</v>
      </c>
      <c r="K14" s="34" t="s">
        <v>14</v>
      </c>
      <c r="L14" s="35" t="s">
        <v>84</v>
      </c>
    </row>
    <row r="15">
      <c r="A15" s="7">
        <v>13.0</v>
      </c>
      <c r="B15" s="20">
        <v>9.08421004E8</v>
      </c>
      <c r="C15" s="9" t="s">
        <v>85</v>
      </c>
      <c r="D15" s="10">
        <v>2.8220958E7</v>
      </c>
      <c r="E15" s="7">
        <v>1.0</v>
      </c>
      <c r="F15" s="11">
        <v>1.0</v>
      </c>
      <c r="G15" s="12">
        <f t="shared" si="1"/>
        <v>0</v>
      </c>
      <c r="H15" s="13">
        <v>46005.0</v>
      </c>
      <c r="I15" s="14" t="s">
        <v>14</v>
      </c>
      <c r="J15" s="13">
        <v>46007.0</v>
      </c>
      <c r="K15" s="7" t="s">
        <v>16</v>
      </c>
      <c r="L15" s="9"/>
    </row>
    <row r="16">
      <c r="A16" s="7">
        <v>14.0</v>
      </c>
      <c r="B16" s="20">
        <v>9.08111011E8</v>
      </c>
      <c r="C16" s="9" t="s">
        <v>86</v>
      </c>
      <c r="D16" s="10"/>
      <c r="E16" s="7"/>
      <c r="F16" s="11">
        <v>12.0</v>
      </c>
      <c r="G16" s="12">
        <f t="shared" si="1"/>
        <v>-12</v>
      </c>
      <c r="H16" s="13"/>
      <c r="I16" s="14"/>
      <c r="J16" s="13">
        <v>46007.0</v>
      </c>
      <c r="K16" s="7" t="s">
        <v>16</v>
      </c>
      <c r="L16" s="9"/>
    </row>
    <row r="17">
      <c r="A17" s="7">
        <v>15.0</v>
      </c>
      <c r="B17" s="20">
        <v>9.05727936E8</v>
      </c>
      <c r="C17" s="38" t="s">
        <v>87</v>
      </c>
      <c r="D17" s="10"/>
      <c r="E17" s="7"/>
      <c r="F17" s="11">
        <v>1.0</v>
      </c>
      <c r="G17" s="12">
        <f t="shared" si="1"/>
        <v>-1</v>
      </c>
      <c r="H17" s="13"/>
      <c r="I17" s="14"/>
      <c r="J17" s="13">
        <v>46016.0</v>
      </c>
      <c r="K17" s="7" t="s">
        <v>16</v>
      </c>
      <c r="L17" s="9"/>
    </row>
    <row r="18">
      <c r="A18" s="7">
        <v>16.0</v>
      </c>
      <c r="B18" s="20">
        <v>9.08501007E8</v>
      </c>
      <c r="C18" s="38" t="s">
        <v>83</v>
      </c>
      <c r="D18" s="10">
        <v>2.8220958E7</v>
      </c>
      <c r="E18" s="7">
        <v>3.0</v>
      </c>
      <c r="F18" s="11">
        <v>3.0</v>
      </c>
      <c r="G18" s="12">
        <f t="shared" si="1"/>
        <v>0</v>
      </c>
      <c r="H18" s="13">
        <v>46009.0</v>
      </c>
      <c r="I18" s="14" t="s">
        <v>14</v>
      </c>
      <c r="J18" s="13">
        <v>46016.0</v>
      </c>
      <c r="K18" s="7" t="s">
        <v>16</v>
      </c>
      <c r="L18" s="9"/>
    </row>
    <row r="21" ht="15.75" customHeight="1">
      <c r="A21" s="4" t="s">
        <v>1</v>
      </c>
      <c r="B21" s="5" t="s">
        <v>2</v>
      </c>
      <c r="C21" s="4" t="s">
        <v>88</v>
      </c>
      <c r="D21" s="4" t="s">
        <v>5</v>
      </c>
      <c r="E21" s="4" t="s">
        <v>89</v>
      </c>
    </row>
    <row r="22" ht="15.75" customHeight="1">
      <c r="A22" s="7">
        <v>1.0</v>
      </c>
      <c r="B22" s="7"/>
      <c r="C22" s="7" t="s">
        <v>90</v>
      </c>
      <c r="D22" s="7">
        <v>2.0</v>
      </c>
      <c r="E22" s="15">
        <v>46016.0</v>
      </c>
    </row>
    <row r="23" ht="15.75" customHeight="1">
      <c r="A23" s="7">
        <v>2.0</v>
      </c>
      <c r="B23" s="7"/>
      <c r="C23" s="7" t="s">
        <v>91</v>
      </c>
      <c r="D23" s="7">
        <v>3.0</v>
      </c>
      <c r="E23" s="15">
        <v>46016.0</v>
      </c>
    </row>
    <row r="24" ht="15.75" customHeight="1">
      <c r="A24" s="7">
        <v>3.0</v>
      </c>
      <c r="B24" s="7"/>
      <c r="C24" s="7" t="s">
        <v>92</v>
      </c>
      <c r="D24" s="7" t="s">
        <v>93</v>
      </c>
      <c r="E24" s="15">
        <v>46016.0</v>
      </c>
    </row>
    <row r="25" ht="15.75" customHeight="1">
      <c r="A25" s="7">
        <v>4.0</v>
      </c>
      <c r="B25" s="7"/>
      <c r="C25" s="7" t="s">
        <v>94</v>
      </c>
      <c r="D25" s="7">
        <v>12.0</v>
      </c>
      <c r="E25" s="15">
        <v>46016.0</v>
      </c>
    </row>
    <row r="26" ht="15.75" customHeight="1">
      <c r="A26" s="7">
        <v>5.0</v>
      </c>
      <c r="B26" s="7"/>
      <c r="C26" s="7" t="s">
        <v>95</v>
      </c>
      <c r="D26" s="7">
        <v>1.0</v>
      </c>
      <c r="E26" s="15">
        <v>46016.0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9.08020201E8</v>
      </c>
      <c r="C3" s="20" t="s">
        <v>13</v>
      </c>
      <c r="D3" s="10">
        <v>2.8205024E7</v>
      </c>
      <c r="E3" s="16">
        <v>1.0</v>
      </c>
      <c r="F3" s="11"/>
      <c r="G3" s="12">
        <f t="shared" ref="G3:G14" si="1">E3-F3</f>
        <v>1</v>
      </c>
      <c r="H3" s="13">
        <v>46001.0</v>
      </c>
      <c r="I3" s="14" t="s">
        <v>33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2.8205024E7</v>
      </c>
      <c r="E4" s="16">
        <v>32.0</v>
      </c>
      <c r="F4" s="11">
        <v>33.0</v>
      </c>
      <c r="G4" s="12">
        <f t="shared" si="1"/>
        <v>-1</v>
      </c>
      <c r="H4" s="13">
        <v>46012.0</v>
      </c>
      <c r="I4" s="14" t="s">
        <v>33</v>
      </c>
      <c r="J4" s="13">
        <v>46012.0</v>
      </c>
      <c r="K4" s="7" t="s">
        <v>16</v>
      </c>
      <c r="L4" s="17"/>
    </row>
    <row r="5">
      <c r="A5" s="7">
        <v>3.0</v>
      </c>
      <c r="B5" s="8" t="s">
        <v>27</v>
      </c>
      <c r="C5" s="9" t="s">
        <v>28</v>
      </c>
      <c r="D5" s="10">
        <v>2.8205024E7</v>
      </c>
      <c r="E5" s="16">
        <v>26.0</v>
      </c>
      <c r="F5" s="11">
        <v>29.0</v>
      </c>
      <c r="G5" s="12">
        <f t="shared" si="1"/>
        <v>-3</v>
      </c>
      <c r="H5" s="13">
        <v>46001.0</v>
      </c>
      <c r="I5" s="14" t="s">
        <v>33</v>
      </c>
      <c r="J5" s="13">
        <v>46012.0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2.8205024E7</v>
      </c>
      <c r="E6" s="16">
        <v>2.0</v>
      </c>
      <c r="F6" s="11">
        <v>2.0</v>
      </c>
      <c r="G6" s="12">
        <f t="shared" si="1"/>
        <v>0</v>
      </c>
      <c r="H6" s="13">
        <v>46002.0</v>
      </c>
      <c r="I6" s="14" t="s">
        <v>33</v>
      </c>
      <c r="J6" s="13">
        <v>46014.0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2.8205024E7</v>
      </c>
      <c r="E7" s="16">
        <v>2.0</v>
      </c>
      <c r="F7" s="11">
        <f>1+1</f>
        <v>2</v>
      </c>
      <c r="G7" s="12">
        <f t="shared" si="1"/>
        <v>0</v>
      </c>
      <c r="H7" s="13">
        <v>46002.0</v>
      </c>
      <c r="I7" s="14" t="s">
        <v>33</v>
      </c>
      <c r="J7" s="13" t="s">
        <v>97</v>
      </c>
      <c r="K7" s="7" t="s">
        <v>16</v>
      </c>
      <c r="L7" s="17"/>
    </row>
    <row r="8">
      <c r="A8" s="7">
        <v>6.0</v>
      </c>
      <c r="B8" s="8">
        <v>9.08122011E8</v>
      </c>
      <c r="C8" s="9" t="s">
        <v>23</v>
      </c>
      <c r="D8" s="10"/>
      <c r="E8" s="16"/>
      <c r="F8" s="11">
        <v>3.0</v>
      </c>
      <c r="G8" s="12">
        <f t="shared" si="1"/>
        <v>-3</v>
      </c>
      <c r="H8" s="13"/>
      <c r="I8" s="14"/>
      <c r="J8" s="13">
        <v>46065.0</v>
      </c>
      <c r="K8" s="7" t="s">
        <v>16</v>
      </c>
      <c r="L8" s="17"/>
    </row>
    <row r="9">
      <c r="A9" s="7">
        <v>7.0</v>
      </c>
      <c r="B9" s="8">
        <v>9.0820203E8</v>
      </c>
      <c r="C9" s="9" t="s">
        <v>19</v>
      </c>
      <c r="D9" s="10">
        <v>2.8205024E7</v>
      </c>
      <c r="E9" s="16">
        <v>2.0</v>
      </c>
      <c r="F9" s="11">
        <v>2.0</v>
      </c>
      <c r="G9" s="12">
        <f t="shared" si="1"/>
        <v>0</v>
      </c>
      <c r="H9" s="13">
        <v>46002.0</v>
      </c>
      <c r="I9" s="14" t="s">
        <v>33</v>
      </c>
      <c r="J9" s="13">
        <v>46014.0</v>
      </c>
      <c r="K9" s="7" t="s">
        <v>16</v>
      </c>
      <c r="L9" s="17"/>
    </row>
    <row r="10">
      <c r="A10" s="7">
        <v>8.0</v>
      </c>
      <c r="B10" s="8" t="s">
        <v>20</v>
      </c>
      <c r="C10" s="9" t="s">
        <v>21</v>
      </c>
      <c r="D10" s="10">
        <v>2.8205024E7</v>
      </c>
      <c r="E10" s="16">
        <v>2.0</v>
      </c>
      <c r="F10" s="11">
        <v>6.0</v>
      </c>
      <c r="G10" s="12">
        <f t="shared" si="1"/>
        <v>-4</v>
      </c>
      <c r="H10" s="13">
        <v>46002.0</v>
      </c>
      <c r="I10" s="14" t="s">
        <v>33</v>
      </c>
      <c r="J10" s="13">
        <v>46014.0</v>
      </c>
      <c r="K10" s="7" t="s">
        <v>16</v>
      </c>
      <c r="L10" s="17"/>
    </row>
    <row r="11">
      <c r="A11" s="7">
        <v>10.0</v>
      </c>
      <c r="B11" s="8">
        <v>9.08312027E8</v>
      </c>
      <c r="C11" s="9" t="s">
        <v>15</v>
      </c>
      <c r="D11" s="10">
        <v>2.8205024E7</v>
      </c>
      <c r="E11" s="16">
        <v>1.0</v>
      </c>
      <c r="F11" s="11">
        <v>1.0</v>
      </c>
      <c r="G11" s="12">
        <f t="shared" si="1"/>
        <v>0</v>
      </c>
      <c r="H11" s="13">
        <v>46002.0</v>
      </c>
      <c r="I11" s="14" t="s">
        <v>33</v>
      </c>
      <c r="J11" s="13">
        <v>46014.0</v>
      </c>
      <c r="K11" s="7" t="s">
        <v>16</v>
      </c>
      <c r="L11" s="17"/>
    </row>
    <row r="12">
      <c r="A12" s="7">
        <v>11.0</v>
      </c>
      <c r="B12" s="8">
        <v>9.08202098E8</v>
      </c>
      <c r="C12" s="9" t="s">
        <v>22</v>
      </c>
      <c r="D12" s="10">
        <v>2.8205024E7</v>
      </c>
      <c r="E12" s="16">
        <v>2.0</v>
      </c>
      <c r="F12" s="11">
        <v>2.0</v>
      </c>
      <c r="G12" s="12">
        <f t="shared" si="1"/>
        <v>0</v>
      </c>
      <c r="H12" s="13">
        <v>46002.0</v>
      </c>
      <c r="I12" s="14" t="s">
        <v>33</v>
      </c>
      <c r="J12" s="13">
        <v>46014.0</v>
      </c>
      <c r="K12" s="7" t="s">
        <v>16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2.8205024E7</v>
      </c>
      <c r="E13" s="16">
        <v>10.0</v>
      </c>
      <c r="F13" s="11">
        <v>6.0</v>
      </c>
      <c r="G13" s="12">
        <f t="shared" si="1"/>
        <v>4</v>
      </c>
      <c r="H13" s="13">
        <v>46012.0</v>
      </c>
      <c r="I13" s="14" t="s">
        <v>33</v>
      </c>
      <c r="J13" s="13">
        <v>46014.0</v>
      </c>
      <c r="K13" s="7" t="s">
        <v>16</v>
      </c>
      <c r="L13" s="17"/>
    </row>
    <row r="14">
      <c r="A14" s="7">
        <v>13.0</v>
      </c>
      <c r="B14" s="8">
        <v>9.08122003E8</v>
      </c>
      <c r="C14" s="9" t="s">
        <v>98</v>
      </c>
      <c r="D14" s="10">
        <v>2.8205024E7</v>
      </c>
      <c r="E14" s="16">
        <v>3.0</v>
      </c>
      <c r="F14" s="11"/>
      <c r="G14" s="12">
        <f t="shared" si="1"/>
        <v>3</v>
      </c>
      <c r="H14" s="13">
        <v>46002.0</v>
      </c>
      <c r="I14" s="14" t="s">
        <v>33</v>
      </c>
      <c r="J14" s="13"/>
      <c r="K14" s="7"/>
      <c r="L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9.08020201E8</v>
      </c>
      <c r="C3" s="20" t="s">
        <v>13</v>
      </c>
      <c r="D3" s="10">
        <v>2.8198153E7</v>
      </c>
      <c r="E3" s="16">
        <v>1.0</v>
      </c>
      <c r="F3" s="11"/>
      <c r="G3" s="12">
        <f t="shared" ref="G3:G13" si="1">E3-F3</f>
        <v>1</v>
      </c>
      <c r="H3" s="13">
        <v>46001.0</v>
      </c>
      <c r="I3" s="14" t="s">
        <v>33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2.8198153E7</v>
      </c>
      <c r="E4" s="16">
        <v>16.0</v>
      </c>
      <c r="F4" s="11">
        <v>18.0</v>
      </c>
      <c r="G4" s="12">
        <f t="shared" si="1"/>
        <v>-2</v>
      </c>
      <c r="H4" s="13">
        <v>46012.0</v>
      </c>
      <c r="I4" s="14" t="s">
        <v>33</v>
      </c>
      <c r="J4" s="13">
        <v>46012.0</v>
      </c>
      <c r="K4" s="7" t="s">
        <v>16</v>
      </c>
      <c r="L4" s="17"/>
    </row>
    <row r="5">
      <c r="A5" s="7">
        <v>3.0</v>
      </c>
      <c r="B5" s="8" t="s">
        <v>27</v>
      </c>
      <c r="C5" s="9" t="s">
        <v>28</v>
      </c>
      <c r="D5" s="10">
        <v>2.8198153E7</v>
      </c>
      <c r="E5" s="16"/>
      <c r="F5" s="11">
        <v>34.0</v>
      </c>
      <c r="G5" s="12">
        <f t="shared" si="1"/>
        <v>-34</v>
      </c>
      <c r="H5" s="13"/>
      <c r="I5" s="14"/>
      <c r="J5" s="13">
        <v>46012.0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2.8198153E7</v>
      </c>
      <c r="E6" s="16">
        <v>1.0</v>
      </c>
      <c r="F6" s="11">
        <v>1.0</v>
      </c>
      <c r="G6" s="12">
        <f t="shared" si="1"/>
        <v>0</v>
      </c>
      <c r="H6" s="13">
        <v>46002.0</v>
      </c>
      <c r="I6" s="14" t="s">
        <v>33</v>
      </c>
      <c r="J6" s="13">
        <v>46012.0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2.8198153E7</v>
      </c>
      <c r="E7" s="16">
        <v>2.0</v>
      </c>
      <c r="F7" s="11">
        <f>1+1</f>
        <v>2</v>
      </c>
      <c r="G7" s="12">
        <f t="shared" si="1"/>
        <v>0</v>
      </c>
      <c r="H7" s="13">
        <v>46002.0</v>
      </c>
      <c r="I7" s="14" t="s">
        <v>33</v>
      </c>
      <c r="J7" s="13" t="s">
        <v>100</v>
      </c>
      <c r="K7" s="7" t="s">
        <v>16</v>
      </c>
      <c r="L7" s="17"/>
    </row>
    <row r="8">
      <c r="A8" s="7">
        <v>6.0</v>
      </c>
      <c r="B8" s="8">
        <v>9.08122011E8</v>
      </c>
      <c r="C8" s="9" t="s">
        <v>23</v>
      </c>
      <c r="D8" s="10">
        <v>2.8198153E7</v>
      </c>
      <c r="E8" s="16">
        <v>3.0</v>
      </c>
      <c r="F8" s="11">
        <v>3.0</v>
      </c>
      <c r="G8" s="12">
        <f t="shared" si="1"/>
        <v>0</v>
      </c>
      <c r="H8" s="13">
        <v>46002.0</v>
      </c>
      <c r="I8" s="14" t="s">
        <v>33</v>
      </c>
      <c r="J8" s="13">
        <v>46028.0</v>
      </c>
      <c r="K8" s="7" t="s">
        <v>16</v>
      </c>
      <c r="L8" s="17"/>
    </row>
    <row r="9">
      <c r="A9" s="7">
        <v>7.0</v>
      </c>
      <c r="B9" s="8">
        <v>9.0820203E8</v>
      </c>
      <c r="C9" s="9" t="s">
        <v>19</v>
      </c>
      <c r="D9" s="10">
        <v>2.8198153E7</v>
      </c>
      <c r="E9" s="16">
        <v>2.0</v>
      </c>
      <c r="F9" s="11">
        <v>2.0</v>
      </c>
      <c r="G9" s="12">
        <f t="shared" si="1"/>
        <v>0</v>
      </c>
      <c r="H9" s="13">
        <v>46002.0</v>
      </c>
      <c r="I9" s="14" t="s">
        <v>33</v>
      </c>
      <c r="J9" s="13">
        <v>46012.0</v>
      </c>
      <c r="K9" s="7" t="s">
        <v>16</v>
      </c>
      <c r="L9" s="17"/>
    </row>
    <row r="10">
      <c r="A10" s="7">
        <v>8.0</v>
      </c>
      <c r="B10" s="8" t="s">
        <v>20</v>
      </c>
      <c r="C10" s="9" t="s">
        <v>21</v>
      </c>
      <c r="D10" s="10">
        <v>2.8198153E7</v>
      </c>
      <c r="E10" s="16">
        <v>2.0</v>
      </c>
      <c r="F10" s="11">
        <v>6.0</v>
      </c>
      <c r="G10" s="12">
        <f t="shared" si="1"/>
        <v>-4</v>
      </c>
      <c r="H10" s="13">
        <v>46002.0</v>
      </c>
      <c r="I10" s="14" t="s">
        <v>33</v>
      </c>
      <c r="J10" s="13">
        <v>46012.0</v>
      </c>
      <c r="K10" s="7" t="s">
        <v>16</v>
      </c>
      <c r="L10" s="17"/>
    </row>
    <row r="11">
      <c r="A11" s="7">
        <v>10.0</v>
      </c>
      <c r="B11" s="8">
        <v>9.08312027E8</v>
      </c>
      <c r="C11" s="9" t="s">
        <v>15</v>
      </c>
      <c r="D11" s="10">
        <v>2.8198153E7</v>
      </c>
      <c r="E11" s="16">
        <v>1.0</v>
      </c>
      <c r="F11" s="11">
        <v>1.0</v>
      </c>
      <c r="G11" s="12">
        <f t="shared" si="1"/>
        <v>0</v>
      </c>
      <c r="H11" s="13">
        <v>46002.0</v>
      </c>
      <c r="I11" s="14" t="s">
        <v>33</v>
      </c>
      <c r="J11" s="13">
        <v>46012.0</v>
      </c>
      <c r="K11" s="7" t="s">
        <v>16</v>
      </c>
      <c r="L11" s="17"/>
    </row>
    <row r="12">
      <c r="A12" s="7">
        <v>11.0</v>
      </c>
      <c r="B12" s="8">
        <v>9.08202098E8</v>
      </c>
      <c r="C12" s="9" t="s">
        <v>22</v>
      </c>
      <c r="D12" s="10">
        <v>2.8198153E7</v>
      </c>
      <c r="E12" s="16">
        <v>2.0</v>
      </c>
      <c r="F12" s="11">
        <v>2.0</v>
      </c>
      <c r="G12" s="12">
        <f t="shared" si="1"/>
        <v>0</v>
      </c>
      <c r="H12" s="13">
        <v>46002.0</v>
      </c>
      <c r="I12" s="14" t="s">
        <v>33</v>
      </c>
      <c r="J12" s="13">
        <v>46012.0</v>
      </c>
      <c r="K12" s="7" t="s">
        <v>16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2.8198153E7</v>
      </c>
      <c r="E13" s="16">
        <v>6.0</v>
      </c>
      <c r="F13" s="11">
        <v>6.0</v>
      </c>
      <c r="G13" s="12">
        <f t="shared" si="1"/>
        <v>0</v>
      </c>
      <c r="H13" s="13">
        <v>46012.0</v>
      </c>
      <c r="I13" s="14" t="s">
        <v>33</v>
      </c>
      <c r="J13" s="13">
        <v>46012.0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9.08020201E8</v>
      </c>
      <c r="C3" s="20" t="s">
        <v>13</v>
      </c>
      <c r="D3" s="10">
        <v>2.8198768E7</v>
      </c>
      <c r="E3" s="16">
        <v>1.0</v>
      </c>
      <c r="F3" s="11"/>
      <c r="G3" s="12">
        <f t="shared" ref="G3:G13" si="1">E3-F3</f>
        <v>1</v>
      </c>
      <c r="H3" s="13">
        <v>46001.0</v>
      </c>
      <c r="I3" s="14" t="s">
        <v>14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2.8198768E7</v>
      </c>
      <c r="E4" s="16">
        <v>5.0</v>
      </c>
      <c r="F4" s="11">
        <v>5.0</v>
      </c>
      <c r="G4" s="12">
        <f t="shared" si="1"/>
        <v>0</v>
      </c>
      <c r="H4" s="13">
        <v>46012.0</v>
      </c>
      <c r="I4" s="14" t="s">
        <v>14</v>
      </c>
      <c r="J4" s="13">
        <v>46004.0</v>
      </c>
      <c r="K4" s="7" t="s">
        <v>16</v>
      </c>
      <c r="L4" s="17"/>
    </row>
    <row r="5">
      <c r="A5" s="7">
        <v>3.0</v>
      </c>
      <c r="B5" s="8" t="s">
        <v>27</v>
      </c>
      <c r="C5" s="9" t="s">
        <v>28</v>
      </c>
      <c r="D5" s="10">
        <v>2.8198768E7</v>
      </c>
      <c r="E5" s="16">
        <v>9.0</v>
      </c>
      <c r="F5" s="11">
        <v>9.0</v>
      </c>
      <c r="G5" s="12">
        <f t="shared" si="1"/>
        <v>0</v>
      </c>
      <c r="H5" s="13">
        <v>46000.0</v>
      </c>
      <c r="I5" s="14" t="s">
        <v>14</v>
      </c>
      <c r="J5" s="13">
        <v>46004.0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2.8198768E7</v>
      </c>
      <c r="E6" s="16">
        <v>1.0</v>
      </c>
      <c r="F6" s="11">
        <v>1.0</v>
      </c>
      <c r="G6" s="12">
        <f t="shared" si="1"/>
        <v>0</v>
      </c>
      <c r="H6" s="13">
        <v>46002.0</v>
      </c>
      <c r="I6" s="14" t="s">
        <v>14</v>
      </c>
      <c r="J6" s="13">
        <v>46014.0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2.8198768E7</v>
      </c>
      <c r="E7" s="16">
        <v>2.0</v>
      </c>
      <c r="F7" s="11">
        <v>2.0</v>
      </c>
      <c r="G7" s="12">
        <f t="shared" si="1"/>
        <v>0</v>
      </c>
      <c r="H7" s="13">
        <v>46002.0</v>
      </c>
      <c r="I7" s="14" t="s">
        <v>14</v>
      </c>
      <c r="J7" s="13" t="s">
        <v>102</v>
      </c>
      <c r="K7" s="7" t="s">
        <v>16</v>
      </c>
      <c r="L7" s="17"/>
    </row>
    <row r="8">
      <c r="A8" s="7">
        <v>6.0</v>
      </c>
      <c r="B8" s="8">
        <v>9.08122011E8</v>
      </c>
      <c r="C8" s="9" t="s">
        <v>23</v>
      </c>
      <c r="D8" s="10">
        <v>2.8198768E7</v>
      </c>
      <c r="E8" s="16">
        <v>3.0</v>
      </c>
      <c r="F8" s="11">
        <v>3.0</v>
      </c>
      <c r="G8" s="12">
        <f t="shared" si="1"/>
        <v>0</v>
      </c>
      <c r="H8" s="13">
        <v>46002.0</v>
      </c>
      <c r="I8" s="14" t="s">
        <v>14</v>
      </c>
      <c r="J8" s="13">
        <v>46027.0</v>
      </c>
      <c r="K8" s="7" t="s">
        <v>16</v>
      </c>
      <c r="L8" s="17"/>
    </row>
    <row r="9">
      <c r="A9" s="7">
        <v>7.0</v>
      </c>
      <c r="B9" s="8">
        <v>9.0820203E8</v>
      </c>
      <c r="C9" s="9" t="s">
        <v>19</v>
      </c>
      <c r="D9" s="10">
        <v>2.8198768E7</v>
      </c>
      <c r="E9" s="16">
        <v>2.0</v>
      </c>
      <c r="F9" s="11">
        <v>2.0</v>
      </c>
      <c r="G9" s="12">
        <f t="shared" si="1"/>
        <v>0</v>
      </c>
      <c r="H9" s="13">
        <v>46002.0</v>
      </c>
      <c r="I9" s="14" t="s">
        <v>14</v>
      </c>
      <c r="J9" s="13">
        <v>46014.0</v>
      </c>
      <c r="K9" s="7" t="s">
        <v>16</v>
      </c>
      <c r="L9" s="17"/>
    </row>
    <row r="10">
      <c r="A10" s="7">
        <v>8.0</v>
      </c>
      <c r="B10" s="8" t="s">
        <v>20</v>
      </c>
      <c r="C10" s="9" t="s">
        <v>21</v>
      </c>
      <c r="D10" s="10">
        <v>2.8198768E7</v>
      </c>
      <c r="E10" s="16">
        <v>2.0</v>
      </c>
      <c r="F10" s="11">
        <v>6.0</v>
      </c>
      <c r="G10" s="12">
        <f t="shared" si="1"/>
        <v>-4</v>
      </c>
      <c r="H10" s="13">
        <v>46002.0</v>
      </c>
      <c r="I10" s="14" t="s">
        <v>14</v>
      </c>
      <c r="J10" s="13">
        <v>46014.0</v>
      </c>
      <c r="K10" s="7" t="s">
        <v>16</v>
      </c>
      <c r="L10" s="17"/>
    </row>
    <row r="11">
      <c r="A11" s="7">
        <v>10.0</v>
      </c>
      <c r="B11" s="19" t="s">
        <v>103</v>
      </c>
      <c r="C11" s="20" t="s">
        <v>104</v>
      </c>
      <c r="D11" s="10">
        <v>2.8198768E7</v>
      </c>
      <c r="E11" s="16">
        <v>1.0</v>
      </c>
      <c r="F11" s="11">
        <v>1.0</v>
      </c>
      <c r="G11" s="12">
        <f t="shared" si="1"/>
        <v>0</v>
      </c>
      <c r="H11" s="13">
        <v>46002.0</v>
      </c>
      <c r="I11" s="14" t="s">
        <v>14</v>
      </c>
      <c r="J11" s="13">
        <v>46014.0</v>
      </c>
      <c r="K11" s="7" t="s">
        <v>16</v>
      </c>
      <c r="L11" s="17"/>
    </row>
    <row r="12">
      <c r="A12" s="7">
        <v>11.0</v>
      </c>
      <c r="B12" s="8">
        <v>9.08202098E8</v>
      </c>
      <c r="C12" s="9" t="s">
        <v>22</v>
      </c>
      <c r="D12" s="10">
        <v>2.8198768E7</v>
      </c>
      <c r="E12" s="16">
        <v>2.0</v>
      </c>
      <c r="F12" s="11">
        <v>2.0</v>
      </c>
      <c r="G12" s="12">
        <f t="shared" si="1"/>
        <v>0</v>
      </c>
      <c r="H12" s="13">
        <v>46002.0</v>
      </c>
      <c r="I12" s="14" t="s">
        <v>14</v>
      </c>
      <c r="J12" s="13">
        <v>46014.0</v>
      </c>
      <c r="K12" s="7" t="s">
        <v>16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2.8198768E7</v>
      </c>
      <c r="E13" s="16">
        <v>6.0</v>
      </c>
      <c r="F13" s="11">
        <v>6.0</v>
      </c>
      <c r="G13" s="12">
        <f t="shared" si="1"/>
        <v>0</v>
      </c>
      <c r="H13" s="13">
        <v>46012.0</v>
      </c>
      <c r="I13" s="14" t="s">
        <v>14</v>
      </c>
      <c r="J13" s="13">
        <v>46014.0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9.08020201E8</v>
      </c>
      <c r="C3" s="20" t="s">
        <v>13</v>
      </c>
      <c r="D3" s="39" t="s">
        <v>106</v>
      </c>
      <c r="E3" s="16">
        <f>1+3</f>
        <v>4</v>
      </c>
      <c r="F3" s="11"/>
      <c r="G3" s="12">
        <f t="shared" ref="G3:G17" si="1">E3-F3</f>
        <v>4</v>
      </c>
      <c r="H3" s="13" t="s">
        <v>107</v>
      </c>
      <c r="I3" s="14" t="s">
        <v>14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2.8177911E7</v>
      </c>
      <c r="E4" s="16">
        <v>84.0</v>
      </c>
      <c r="F4" s="11">
        <v>91.0</v>
      </c>
      <c r="G4" s="12">
        <f t="shared" si="1"/>
        <v>-7</v>
      </c>
      <c r="H4" s="13">
        <v>46012.0</v>
      </c>
      <c r="I4" s="14" t="s">
        <v>14</v>
      </c>
      <c r="J4" s="13">
        <v>46001.0</v>
      </c>
      <c r="K4" s="7" t="s">
        <v>16</v>
      </c>
      <c r="L4" s="17"/>
    </row>
    <row r="5">
      <c r="A5" s="7">
        <v>3.0</v>
      </c>
      <c r="B5" s="8" t="s">
        <v>27</v>
      </c>
      <c r="C5" s="9" t="s">
        <v>28</v>
      </c>
      <c r="D5" s="10">
        <v>2.8177911E7</v>
      </c>
      <c r="E5" s="16">
        <v>96.0</v>
      </c>
      <c r="F5" s="11">
        <v>93.0</v>
      </c>
      <c r="G5" s="12">
        <f t="shared" si="1"/>
        <v>3</v>
      </c>
      <c r="H5" s="13"/>
      <c r="I5" s="14"/>
      <c r="J5" s="13">
        <v>46001.0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2.8177911E7</v>
      </c>
      <c r="E6" s="16">
        <v>3.0</v>
      </c>
      <c r="F6" s="11">
        <v>3.0</v>
      </c>
      <c r="G6" s="12">
        <f t="shared" si="1"/>
        <v>0</v>
      </c>
      <c r="H6" s="13">
        <v>46002.0</v>
      </c>
      <c r="I6" s="14" t="s">
        <v>14</v>
      </c>
      <c r="J6" s="13">
        <v>46009.0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2.8177911E7</v>
      </c>
      <c r="E7" s="16">
        <v>2.0</v>
      </c>
      <c r="F7" s="11">
        <v>2.0</v>
      </c>
      <c r="G7" s="12">
        <f t="shared" si="1"/>
        <v>0</v>
      </c>
      <c r="H7" s="13">
        <v>46002.0</v>
      </c>
      <c r="I7" s="14" t="s">
        <v>14</v>
      </c>
      <c r="J7" s="13">
        <v>46009.0</v>
      </c>
      <c r="K7" s="7" t="s">
        <v>16</v>
      </c>
      <c r="L7" s="17"/>
    </row>
    <row r="8">
      <c r="A8" s="7">
        <v>6.0</v>
      </c>
      <c r="B8" s="8">
        <v>9.08122011E8</v>
      </c>
      <c r="C8" s="9" t="s">
        <v>23</v>
      </c>
      <c r="D8" s="10">
        <v>2.8177911E7</v>
      </c>
      <c r="E8" s="16">
        <v>3.0</v>
      </c>
      <c r="F8" s="11">
        <v>3.0</v>
      </c>
      <c r="G8" s="12">
        <f t="shared" si="1"/>
        <v>0</v>
      </c>
      <c r="H8" s="13">
        <v>46002.0</v>
      </c>
      <c r="I8" s="14" t="s">
        <v>14</v>
      </c>
      <c r="J8" s="13">
        <v>46009.0</v>
      </c>
      <c r="K8" s="7" t="s">
        <v>16</v>
      </c>
      <c r="L8" s="17"/>
    </row>
    <row r="9">
      <c r="A9" s="7">
        <v>7.0</v>
      </c>
      <c r="B9" s="8">
        <v>9.0820203E8</v>
      </c>
      <c r="C9" s="9" t="s">
        <v>19</v>
      </c>
      <c r="D9" s="10">
        <v>2.834508E7</v>
      </c>
      <c r="E9" s="16">
        <v>2.0</v>
      </c>
      <c r="F9" s="11"/>
      <c r="G9" s="12">
        <f t="shared" si="1"/>
        <v>2</v>
      </c>
      <c r="H9" s="13">
        <v>46027.0</v>
      </c>
      <c r="I9" s="14" t="s">
        <v>14</v>
      </c>
      <c r="J9" s="13"/>
      <c r="K9" s="7"/>
      <c r="L9" s="17"/>
    </row>
    <row r="10">
      <c r="A10" s="7">
        <v>8.0</v>
      </c>
      <c r="B10" s="8" t="s">
        <v>20</v>
      </c>
      <c r="C10" s="9" t="s">
        <v>21</v>
      </c>
      <c r="D10" s="39" t="s">
        <v>106</v>
      </c>
      <c r="E10" s="16">
        <f>2+2</f>
        <v>4</v>
      </c>
      <c r="F10" s="11">
        <v>6.0</v>
      </c>
      <c r="G10" s="12">
        <f t="shared" si="1"/>
        <v>-2</v>
      </c>
      <c r="H10" s="13" t="s">
        <v>108</v>
      </c>
      <c r="I10" s="14" t="s">
        <v>14</v>
      </c>
      <c r="J10" s="13" t="s">
        <v>109</v>
      </c>
      <c r="K10" s="7" t="s">
        <v>16</v>
      </c>
      <c r="L10" s="17"/>
    </row>
    <row r="11">
      <c r="A11" s="7">
        <v>9.0</v>
      </c>
      <c r="B11" s="8">
        <v>9.08312027E8</v>
      </c>
      <c r="C11" s="9" t="s">
        <v>15</v>
      </c>
      <c r="D11" s="10">
        <v>2.8177911E7</v>
      </c>
      <c r="E11" s="16">
        <v>1.0</v>
      </c>
      <c r="F11" s="11">
        <v>1.0</v>
      </c>
      <c r="G11" s="12">
        <f t="shared" si="1"/>
        <v>0</v>
      </c>
      <c r="H11" s="13">
        <v>46002.0</v>
      </c>
      <c r="I11" s="14" t="s">
        <v>14</v>
      </c>
      <c r="J11" s="13">
        <v>46009.0</v>
      </c>
      <c r="K11" s="7" t="s">
        <v>16</v>
      </c>
      <c r="L11" s="17"/>
    </row>
    <row r="12">
      <c r="A12" s="7">
        <v>10.0</v>
      </c>
      <c r="B12" s="8">
        <v>9.08202098E8</v>
      </c>
      <c r="C12" s="9" t="s">
        <v>22</v>
      </c>
      <c r="D12" s="10">
        <v>2.8177911E7</v>
      </c>
      <c r="E12" s="16">
        <v>2.0</v>
      </c>
      <c r="F12" s="11">
        <v>2.0</v>
      </c>
      <c r="G12" s="12">
        <f t="shared" si="1"/>
        <v>0</v>
      </c>
      <c r="H12" s="13">
        <v>46002.0</v>
      </c>
      <c r="I12" s="14" t="s">
        <v>14</v>
      </c>
      <c r="J12" s="13">
        <v>46009.0</v>
      </c>
      <c r="K12" s="7" t="s">
        <v>16</v>
      </c>
      <c r="L12" s="17"/>
    </row>
    <row r="13">
      <c r="A13" s="7">
        <v>11.0</v>
      </c>
      <c r="B13" s="8">
        <v>9.08111101E8</v>
      </c>
      <c r="C13" s="9" t="s">
        <v>24</v>
      </c>
      <c r="D13" s="39" t="s">
        <v>106</v>
      </c>
      <c r="E13" s="16">
        <f t="shared" ref="E13:F13" si="2">6+6</f>
        <v>12</v>
      </c>
      <c r="F13" s="11">
        <f t="shared" si="2"/>
        <v>12</v>
      </c>
      <c r="G13" s="12">
        <f t="shared" si="1"/>
        <v>0</v>
      </c>
      <c r="H13" s="13" t="s">
        <v>110</v>
      </c>
      <c r="I13" s="14" t="s">
        <v>14</v>
      </c>
      <c r="J13" s="13">
        <v>46009.0</v>
      </c>
      <c r="K13" s="7" t="s">
        <v>16</v>
      </c>
      <c r="L13" s="17"/>
    </row>
    <row r="14">
      <c r="A14" s="7">
        <v>12.0</v>
      </c>
      <c r="B14" s="8">
        <v>9.08402208E8</v>
      </c>
      <c r="C14" s="9" t="s">
        <v>111</v>
      </c>
      <c r="D14" s="10">
        <v>2.834508E7</v>
      </c>
      <c r="E14" s="16">
        <v>3.0</v>
      </c>
      <c r="F14" s="11">
        <v>3.0</v>
      </c>
      <c r="G14" s="12">
        <f t="shared" si="1"/>
        <v>0</v>
      </c>
      <c r="H14" s="13">
        <v>46027.0</v>
      </c>
      <c r="I14" s="14" t="s">
        <v>14</v>
      </c>
      <c r="J14" s="13">
        <v>46029.0</v>
      </c>
      <c r="K14" s="7" t="s">
        <v>16</v>
      </c>
      <c r="L14" s="17"/>
    </row>
    <row r="15">
      <c r="A15" s="7">
        <v>13.0</v>
      </c>
      <c r="B15" s="8">
        <v>9.08421025E8</v>
      </c>
      <c r="C15" s="9" t="s">
        <v>112</v>
      </c>
      <c r="D15" s="10">
        <v>2.834508E7</v>
      </c>
      <c r="E15" s="16">
        <v>3.0</v>
      </c>
      <c r="F15" s="11">
        <v>3.0</v>
      </c>
      <c r="G15" s="12">
        <f t="shared" si="1"/>
        <v>0</v>
      </c>
      <c r="H15" s="13">
        <v>46027.0</v>
      </c>
      <c r="I15" s="14" t="s">
        <v>14</v>
      </c>
      <c r="J15" s="13">
        <v>46029.0</v>
      </c>
      <c r="K15" s="7" t="s">
        <v>16</v>
      </c>
      <c r="L15" s="17"/>
    </row>
    <row r="16">
      <c r="A16" s="7">
        <v>14.0</v>
      </c>
      <c r="B16" s="19">
        <v>9.08371014E8</v>
      </c>
      <c r="C16" s="20" t="s">
        <v>113</v>
      </c>
      <c r="D16" s="10">
        <v>2.834508E7</v>
      </c>
      <c r="E16" s="16">
        <v>3.0</v>
      </c>
      <c r="F16" s="11">
        <v>3.0</v>
      </c>
      <c r="G16" s="12">
        <f t="shared" si="1"/>
        <v>0</v>
      </c>
      <c r="H16" s="13">
        <v>46027.0</v>
      </c>
      <c r="I16" s="14" t="s">
        <v>14</v>
      </c>
      <c r="J16" s="13">
        <v>46029.0</v>
      </c>
      <c r="K16" s="7" t="s">
        <v>16</v>
      </c>
      <c r="L16" s="17"/>
    </row>
    <row r="17">
      <c r="A17" s="7">
        <v>15.0</v>
      </c>
      <c r="B17" s="8">
        <v>9.08202189E8</v>
      </c>
      <c r="C17" s="9" t="s">
        <v>55</v>
      </c>
      <c r="D17" s="10">
        <v>2.834508E7</v>
      </c>
      <c r="E17" s="16">
        <v>3.0</v>
      </c>
      <c r="F17" s="11">
        <v>3.0</v>
      </c>
      <c r="G17" s="12">
        <f t="shared" si="1"/>
        <v>0</v>
      </c>
      <c r="H17" s="13">
        <v>46027.0</v>
      </c>
      <c r="I17" s="14" t="s">
        <v>14</v>
      </c>
      <c r="J17" s="13">
        <v>46029.0</v>
      </c>
      <c r="K17" s="7" t="s">
        <v>16</v>
      </c>
      <c r="L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2.8127741E7</v>
      </c>
      <c r="E3" s="16">
        <v>2.0</v>
      </c>
      <c r="F3" s="11">
        <v>2.0</v>
      </c>
      <c r="G3" s="12">
        <f t="shared" ref="G3:G18" si="1">E3-F3</f>
        <v>0</v>
      </c>
      <c r="H3" s="13">
        <v>46002.0</v>
      </c>
      <c r="I3" s="14" t="s">
        <v>14</v>
      </c>
      <c r="J3" s="13">
        <v>45999.0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2.8127741E7</v>
      </c>
      <c r="E4" s="16">
        <v>2.0</v>
      </c>
      <c r="F4" s="11">
        <f>1+1</f>
        <v>2</v>
      </c>
      <c r="G4" s="12">
        <f t="shared" si="1"/>
        <v>0</v>
      </c>
      <c r="H4" s="13">
        <v>46002.0</v>
      </c>
      <c r="I4" s="14" t="s">
        <v>14</v>
      </c>
      <c r="J4" s="13" t="s">
        <v>115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2.8127741E7</v>
      </c>
      <c r="E5" s="16">
        <v>3.0</v>
      </c>
      <c r="F5" s="11">
        <v>3.0</v>
      </c>
      <c r="G5" s="12">
        <f t="shared" si="1"/>
        <v>0</v>
      </c>
      <c r="H5" s="13">
        <v>46002.0</v>
      </c>
      <c r="I5" s="14" t="s">
        <v>14</v>
      </c>
      <c r="J5" s="13">
        <v>46018.0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39" t="s">
        <v>116</v>
      </c>
      <c r="E6" s="16">
        <f t="shared" ref="E6:E7" si="2">2+2</f>
        <v>4</v>
      </c>
      <c r="F6" s="11">
        <v>2.0</v>
      </c>
      <c r="G6" s="12">
        <f t="shared" si="1"/>
        <v>2</v>
      </c>
      <c r="H6" s="13" t="s">
        <v>117</v>
      </c>
      <c r="I6" s="14" t="s">
        <v>14</v>
      </c>
      <c r="J6" s="13">
        <v>45999.0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39" t="s">
        <v>116</v>
      </c>
      <c r="E7" s="16">
        <f t="shared" si="2"/>
        <v>4</v>
      </c>
      <c r="F7" s="11">
        <f>2+2</f>
        <v>4</v>
      </c>
      <c r="G7" s="12">
        <f t="shared" si="1"/>
        <v>0</v>
      </c>
      <c r="H7" s="13" t="s">
        <v>117</v>
      </c>
      <c r="I7" s="14" t="s">
        <v>14</v>
      </c>
      <c r="J7" s="13" t="s">
        <v>118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39" t="s">
        <v>116</v>
      </c>
      <c r="E8" s="16">
        <f>1+3</f>
        <v>4</v>
      </c>
      <c r="F8" s="11"/>
      <c r="G8" s="12">
        <f t="shared" si="1"/>
        <v>4</v>
      </c>
      <c r="H8" s="13" t="s">
        <v>119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2.8127741E7</v>
      </c>
      <c r="E9" s="16">
        <v>1.0</v>
      </c>
      <c r="F9" s="11">
        <v>1.0</v>
      </c>
      <c r="G9" s="12">
        <f t="shared" si="1"/>
        <v>0</v>
      </c>
      <c r="H9" s="13">
        <v>45998.0</v>
      </c>
      <c r="I9" s="14" t="s">
        <v>14</v>
      </c>
      <c r="J9" s="13">
        <v>45999.0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2.8127741E7</v>
      </c>
      <c r="E10" s="16">
        <v>2.0</v>
      </c>
      <c r="F10" s="11">
        <v>6.0</v>
      </c>
      <c r="G10" s="12">
        <f t="shared" si="1"/>
        <v>-4</v>
      </c>
      <c r="H10" s="13">
        <v>46002.0</v>
      </c>
      <c r="I10" s="14" t="s">
        <v>14</v>
      </c>
      <c r="J10" s="13">
        <v>45999.0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>
        <v>2.8127741E7</v>
      </c>
      <c r="E11" s="16"/>
      <c r="F11" s="11">
        <v>85.0</v>
      </c>
      <c r="G11" s="12">
        <f t="shared" si="1"/>
        <v>-85</v>
      </c>
      <c r="H11" s="13"/>
      <c r="I11" s="14"/>
      <c r="J11" s="13">
        <v>45999.0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>
        <v>2.8127741E7</v>
      </c>
      <c r="E12" s="16"/>
      <c r="F12" s="11">
        <v>30.0</v>
      </c>
      <c r="G12" s="12">
        <f t="shared" si="1"/>
        <v>-30</v>
      </c>
      <c r="H12" s="13"/>
      <c r="I12" s="14"/>
      <c r="J12" s="13">
        <v>45999.0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>
        <v>2.8127741E7</v>
      </c>
      <c r="E13" s="16">
        <v>6.0</v>
      </c>
      <c r="F13" s="11">
        <f>6+6</f>
        <v>12</v>
      </c>
      <c r="G13" s="12">
        <f t="shared" si="1"/>
        <v>-6</v>
      </c>
      <c r="H13" s="13"/>
      <c r="I13" s="14"/>
      <c r="J13" s="13" t="s">
        <v>120</v>
      </c>
      <c r="K13" s="7" t="s">
        <v>16</v>
      </c>
      <c r="L13" s="17"/>
    </row>
    <row r="14">
      <c r="A14" s="7">
        <v>12.0</v>
      </c>
      <c r="B14" s="19">
        <v>9.08371013E8</v>
      </c>
      <c r="C14" s="20" t="s">
        <v>121</v>
      </c>
      <c r="D14" s="10">
        <v>2.8295061E7</v>
      </c>
      <c r="E14" s="16">
        <v>5.0</v>
      </c>
      <c r="F14" s="11">
        <v>5.0</v>
      </c>
      <c r="G14" s="12">
        <f t="shared" si="1"/>
        <v>0</v>
      </c>
      <c r="H14" s="13">
        <v>46021.0</v>
      </c>
      <c r="I14" s="14" t="s">
        <v>14</v>
      </c>
      <c r="J14" s="13">
        <v>46023.0</v>
      </c>
      <c r="K14" s="7" t="s">
        <v>16</v>
      </c>
      <c r="L14" s="17"/>
    </row>
    <row r="15">
      <c r="A15" s="7">
        <v>13.0</v>
      </c>
      <c r="B15" s="19">
        <v>9.08402208E8</v>
      </c>
      <c r="C15" s="20" t="s">
        <v>111</v>
      </c>
      <c r="D15" s="10">
        <v>2.8295061E7</v>
      </c>
      <c r="E15" s="16">
        <v>5.0</v>
      </c>
      <c r="F15" s="11">
        <v>5.0</v>
      </c>
      <c r="G15" s="12">
        <f t="shared" si="1"/>
        <v>0</v>
      </c>
      <c r="H15" s="13">
        <v>46021.0</v>
      </c>
      <c r="I15" s="14" t="s">
        <v>14</v>
      </c>
      <c r="J15" s="13">
        <v>46023.0</v>
      </c>
      <c r="K15" s="7" t="s">
        <v>16</v>
      </c>
      <c r="L15" s="17"/>
    </row>
    <row r="16">
      <c r="A16" s="7">
        <v>14.0</v>
      </c>
      <c r="B16" s="19">
        <v>9.08421025E8</v>
      </c>
      <c r="C16" s="20" t="s">
        <v>112</v>
      </c>
      <c r="D16" s="10">
        <v>2.8295061E7</v>
      </c>
      <c r="E16" s="16">
        <v>1.0</v>
      </c>
      <c r="F16" s="11">
        <v>1.0</v>
      </c>
      <c r="G16" s="12">
        <f t="shared" si="1"/>
        <v>0</v>
      </c>
      <c r="H16" s="13">
        <v>46021.0</v>
      </c>
      <c r="I16" s="14" t="s">
        <v>14</v>
      </c>
      <c r="J16" s="13">
        <v>46023.0</v>
      </c>
      <c r="K16" s="7" t="s">
        <v>16</v>
      </c>
      <c r="L16" s="17"/>
    </row>
    <row r="17">
      <c r="A17" s="7">
        <v>15.0</v>
      </c>
      <c r="B17" s="19">
        <v>9.08421031E8</v>
      </c>
      <c r="C17" s="20" t="s">
        <v>122</v>
      </c>
      <c r="D17" s="10">
        <v>2.8295061E7</v>
      </c>
      <c r="E17" s="16">
        <v>2.0</v>
      </c>
      <c r="F17" s="11">
        <v>2.0</v>
      </c>
      <c r="G17" s="12">
        <f t="shared" si="1"/>
        <v>0</v>
      </c>
      <c r="H17" s="13">
        <v>46021.0</v>
      </c>
      <c r="I17" s="14" t="s">
        <v>14</v>
      </c>
      <c r="J17" s="13">
        <v>46023.0</v>
      </c>
      <c r="K17" s="7" t="s">
        <v>16</v>
      </c>
      <c r="L17" s="17"/>
    </row>
    <row r="18">
      <c r="A18" s="7">
        <v>16.0</v>
      </c>
      <c r="B18" s="19">
        <v>9.08202189E8</v>
      </c>
      <c r="C18" s="20" t="s">
        <v>55</v>
      </c>
      <c r="D18" s="10">
        <v>2.8295061E7</v>
      </c>
      <c r="E18" s="16">
        <f>2+2</f>
        <v>4</v>
      </c>
      <c r="F18" s="11">
        <v>3.0</v>
      </c>
      <c r="G18" s="12">
        <f t="shared" si="1"/>
        <v>1</v>
      </c>
      <c r="H18" s="13" t="s">
        <v>123</v>
      </c>
      <c r="I18" s="14" t="s">
        <v>14</v>
      </c>
      <c r="J18" s="13">
        <v>46023.0</v>
      </c>
      <c r="K18" s="7" t="s">
        <v>16</v>
      </c>
      <c r="L18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9.08501111E8</v>
      </c>
      <c r="C3" s="9" t="s">
        <v>125</v>
      </c>
      <c r="D3" s="7">
        <v>2.8148462E7</v>
      </c>
      <c r="E3" s="7">
        <v>3.0</v>
      </c>
      <c r="F3" s="11">
        <v>3.0</v>
      </c>
      <c r="G3" s="12">
        <f t="shared" ref="G3:G13" si="1">E3-F3</f>
        <v>0</v>
      </c>
      <c r="H3" s="13">
        <v>45994.0</v>
      </c>
      <c r="I3" s="14" t="s">
        <v>14</v>
      </c>
      <c r="J3" s="13">
        <v>45998.0</v>
      </c>
      <c r="K3" s="40" t="s">
        <v>16</v>
      </c>
      <c r="L3" s="9"/>
    </row>
    <row r="4">
      <c r="A4" s="7">
        <v>2.0</v>
      </c>
      <c r="B4" s="8">
        <v>9.08402206E8</v>
      </c>
      <c r="C4" s="9" t="s">
        <v>82</v>
      </c>
      <c r="D4" s="7">
        <v>2.8148462E7</v>
      </c>
      <c r="E4" s="7">
        <v>1.0</v>
      </c>
      <c r="F4" s="11">
        <v>1.0</v>
      </c>
      <c r="G4" s="12">
        <f t="shared" si="1"/>
        <v>0</v>
      </c>
      <c r="H4" s="13">
        <v>45994.0</v>
      </c>
      <c r="I4" s="14" t="s">
        <v>14</v>
      </c>
      <c r="J4" s="13">
        <v>45998.0</v>
      </c>
      <c r="K4" s="40" t="s">
        <v>16</v>
      </c>
      <c r="L4" s="9"/>
    </row>
    <row r="5">
      <c r="A5" s="7">
        <v>3.0</v>
      </c>
      <c r="B5" s="8" t="s">
        <v>126</v>
      </c>
      <c r="C5" s="9" t="s">
        <v>127</v>
      </c>
      <c r="D5" s="7">
        <v>2.8148462E7</v>
      </c>
      <c r="E5" s="7">
        <v>1.0</v>
      </c>
      <c r="F5" s="11">
        <v>1.0</v>
      </c>
      <c r="G5" s="12">
        <f t="shared" si="1"/>
        <v>0</v>
      </c>
      <c r="H5" s="13">
        <v>45994.0</v>
      </c>
      <c r="I5" s="14" t="s">
        <v>14</v>
      </c>
      <c r="J5" s="13">
        <v>45998.0</v>
      </c>
      <c r="K5" s="40" t="s">
        <v>16</v>
      </c>
      <c r="L5" s="9"/>
    </row>
    <row r="6">
      <c r="A6" s="7">
        <v>4.0</v>
      </c>
      <c r="B6" s="8">
        <v>9.08122008E8</v>
      </c>
      <c r="C6" s="9" t="s">
        <v>128</v>
      </c>
      <c r="D6" s="7">
        <v>2.8148462E7</v>
      </c>
      <c r="E6" s="7">
        <v>8.0</v>
      </c>
      <c r="F6" s="11"/>
      <c r="G6" s="12">
        <f t="shared" si="1"/>
        <v>8</v>
      </c>
      <c r="H6" s="13">
        <v>45994.0</v>
      </c>
      <c r="I6" s="14" t="s">
        <v>14</v>
      </c>
      <c r="J6" s="13"/>
      <c r="K6" s="40"/>
      <c r="L6" s="9"/>
    </row>
    <row r="7">
      <c r="A7" s="7">
        <v>5.0</v>
      </c>
      <c r="B7" s="19">
        <v>9.0820203E8</v>
      </c>
      <c r="C7" s="20" t="s">
        <v>19</v>
      </c>
      <c r="D7" s="7">
        <v>2.8148462E7</v>
      </c>
      <c r="E7" s="7">
        <v>1.0</v>
      </c>
      <c r="F7" s="11">
        <v>1.0</v>
      </c>
      <c r="G7" s="12">
        <f t="shared" si="1"/>
        <v>0</v>
      </c>
      <c r="H7" s="13">
        <v>45994.0</v>
      </c>
      <c r="I7" s="14" t="s">
        <v>14</v>
      </c>
      <c r="J7" s="13">
        <v>45998.0</v>
      </c>
      <c r="K7" s="40" t="s">
        <v>16</v>
      </c>
      <c r="L7" s="9"/>
    </row>
    <row r="8">
      <c r="A8" s="7">
        <v>6.0</v>
      </c>
      <c r="B8" s="8" t="s">
        <v>27</v>
      </c>
      <c r="C8" s="9" t="s">
        <v>28</v>
      </c>
      <c r="D8" s="7">
        <v>2.8148462E7</v>
      </c>
      <c r="E8" s="7"/>
      <c r="F8" s="11">
        <v>9.0</v>
      </c>
      <c r="G8" s="12">
        <f t="shared" si="1"/>
        <v>-9</v>
      </c>
      <c r="H8" s="13"/>
      <c r="I8" s="14"/>
      <c r="J8" s="13">
        <v>45998.0</v>
      </c>
      <c r="K8" s="40" t="s">
        <v>16</v>
      </c>
      <c r="L8" s="9"/>
    </row>
    <row r="9">
      <c r="A9" s="7">
        <v>7.0</v>
      </c>
      <c r="B9" s="8">
        <v>9.08421005E8</v>
      </c>
      <c r="C9" s="9" t="s">
        <v>129</v>
      </c>
      <c r="D9" s="7">
        <v>2.8148462E7</v>
      </c>
      <c r="E9" s="7">
        <v>1.0</v>
      </c>
      <c r="F9" s="11">
        <v>1.0</v>
      </c>
      <c r="G9" s="12">
        <f t="shared" si="1"/>
        <v>0</v>
      </c>
      <c r="H9" s="13">
        <v>45998.0</v>
      </c>
      <c r="I9" s="14" t="s">
        <v>14</v>
      </c>
      <c r="J9" s="13">
        <v>45998.0</v>
      </c>
      <c r="K9" s="40" t="s">
        <v>16</v>
      </c>
      <c r="L9" s="9"/>
    </row>
    <row r="10">
      <c r="A10" s="7">
        <v>8.0</v>
      </c>
      <c r="B10" s="8">
        <v>9.08122039E8</v>
      </c>
      <c r="C10" s="9" t="s">
        <v>130</v>
      </c>
      <c r="D10" s="7"/>
      <c r="E10" s="7"/>
      <c r="F10" s="11">
        <v>6.0</v>
      </c>
      <c r="G10" s="12">
        <f t="shared" si="1"/>
        <v>-6</v>
      </c>
      <c r="H10" s="13"/>
      <c r="I10" s="14"/>
      <c r="J10" s="13">
        <v>45998.0</v>
      </c>
      <c r="K10" s="40" t="s">
        <v>16</v>
      </c>
      <c r="L10" s="9"/>
    </row>
    <row r="11">
      <c r="A11" s="7">
        <v>9.0</v>
      </c>
      <c r="B11" s="8">
        <v>9.08202189E8</v>
      </c>
      <c r="C11" s="9" t="s">
        <v>55</v>
      </c>
      <c r="D11" s="7">
        <v>2.8148462E7</v>
      </c>
      <c r="E11" s="7">
        <v>1.0</v>
      </c>
      <c r="F11" s="11">
        <v>1.0</v>
      </c>
      <c r="G11" s="12">
        <f t="shared" si="1"/>
        <v>0</v>
      </c>
      <c r="H11" s="13">
        <v>45998.0</v>
      </c>
      <c r="I11" s="14" t="s">
        <v>14</v>
      </c>
      <c r="J11" s="13">
        <v>45998.0</v>
      </c>
      <c r="K11" s="40" t="s">
        <v>16</v>
      </c>
      <c r="L11" s="9"/>
    </row>
    <row r="12">
      <c r="A12" s="7">
        <v>10.0</v>
      </c>
      <c r="B12" s="8" t="s">
        <v>20</v>
      </c>
      <c r="C12" s="9" t="s">
        <v>21</v>
      </c>
      <c r="D12" s="7"/>
      <c r="E12" s="7"/>
      <c r="F12" s="11">
        <v>1.0</v>
      </c>
      <c r="G12" s="12">
        <f t="shared" si="1"/>
        <v>-1</v>
      </c>
      <c r="H12" s="13"/>
      <c r="I12" s="14"/>
      <c r="J12" s="13">
        <v>45998.0</v>
      </c>
      <c r="K12" s="40" t="s">
        <v>16</v>
      </c>
      <c r="L12" s="9"/>
    </row>
    <row r="13">
      <c r="A13" s="7">
        <v>11.0</v>
      </c>
      <c r="B13" s="8">
        <v>9.08111101E8</v>
      </c>
      <c r="C13" s="9" t="s">
        <v>24</v>
      </c>
      <c r="D13" s="7">
        <v>2.8148462E7</v>
      </c>
      <c r="E13" s="7"/>
      <c r="F13" s="11">
        <v>2.0</v>
      </c>
      <c r="G13" s="12">
        <f t="shared" si="1"/>
        <v>-2</v>
      </c>
      <c r="H13" s="13">
        <v>46009.0</v>
      </c>
      <c r="I13" s="14" t="s">
        <v>14</v>
      </c>
      <c r="J13" s="13">
        <v>45998.0</v>
      </c>
      <c r="K13" s="40" t="s">
        <v>16</v>
      </c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/>
      <c r="E3" s="16"/>
      <c r="F3" s="11">
        <v>44.0</v>
      </c>
      <c r="G3" s="12">
        <f t="shared" ref="G3:G4" si="1">E3-F3</f>
        <v>-44</v>
      </c>
      <c r="H3" s="13"/>
      <c r="I3" s="14"/>
      <c r="J3" s="13">
        <v>45997.0</v>
      </c>
      <c r="K3" s="7" t="s">
        <v>16</v>
      </c>
      <c r="L3" s="17"/>
    </row>
    <row r="4">
      <c r="A4" s="7">
        <v>2.0</v>
      </c>
      <c r="B4" s="8">
        <v>9.08121008E8</v>
      </c>
      <c r="C4" s="9" t="s">
        <v>17</v>
      </c>
      <c r="D4" s="10">
        <v>2.8119188E7</v>
      </c>
      <c r="E4" s="16">
        <v>2.0</v>
      </c>
      <c r="F4" s="11">
        <v>2.0</v>
      </c>
      <c r="G4" s="12">
        <f t="shared" si="1"/>
        <v>0</v>
      </c>
      <c r="H4" s="13">
        <v>46002.0</v>
      </c>
      <c r="I4" s="14" t="s">
        <v>14</v>
      </c>
      <c r="J4" s="13">
        <v>45998.0</v>
      </c>
      <c r="K4" s="7" t="s">
        <v>16</v>
      </c>
      <c r="L4" s="17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2.811902E7</v>
      </c>
      <c r="E3" s="16">
        <v>2.0</v>
      </c>
      <c r="F3" s="11">
        <v>2.0</v>
      </c>
      <c r="G3" s="12">
        <f t="shared" ref="G3:G18" si="1">E3-F3</f>
        <v>0</v>
      </c>
      <c r="H3" s="13">
        <v>46002.0</v>
      </c>
      <c r="I3" s="14" t="s">
        <v>14</v>
      </c>
      <c r="J3" s="13">
        <v>45994.0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2.811902E7</v>
      </c>
      <c r="E4" s="16">
        <v>2.0</v>
      </c>
      <c r="F4" s="11">
        <f>1+1</f>
        <v>2</v>
      </c>
      <c r="G4" s="12">
        <f t="shared" si="1"/>
        <v>0</v>
      </c>
      <c r="H4" s="13">
        <v>46002.0</v>
      </c>
      <c r="I4" s="14" t="s">
        <v>14</v>
      </c>
      <c r="J4" s="13" t="s">
        <v>133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2.811902E7</v>
      </c>
      <c r="E5" s="16">
        <v>3.0</v>
      </c>
      <c r="F5" s="11">
        <v>3.0</v>
      </c>
      <c r="G5" s="12">
        <f t="shared" si="1"/>
        <v>0</v>
      </c>
      <c r="H5" s="13">
        <v>46002.0</v>
      </c>
      <c r="I5" s="14" t="s">
        <v>14</v>
      </c>
      <c r="J5" s="13">
        <v>46001.0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39" t="s">
        <v>134</v>
      </c>
      <c r="E6" s="16">
        <f>2+3</f>
        <v>5</v>
      </c>
      <c r="F6" s="11">
        <v>2.0</v>
      </c>
      <c r="G6" s="12">
        <f t="shared" si="1"/>
        <v>3</v>
      </c>
      <c r="H6" s="13" t="s">
        <v>135</v>
      </c>
      <c r="I6" s="14" t="s">
        <v>14</v>
      </c>
      <c r="J6" s="13">
        <v>45994.0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39" t="s">
        <v>134</v>
      </c>
      <c r="E7" s="16">
        <f>2+2</f>
        <v>4</v>
      </c>
      <c r="F7" s="11">
        <f>2+3</f>
        <v>5</v>
      </c>
      <c r="G7" s="12">
        <f t="shared" si="1"/>
        <v>-1</v>
      </c>
      <c r="H7" s="13" t="s">
        <v>135</v>
      </c>
      <c r="I7" s="14" t="s">
        <v>14</v>
      </c>
      <c r="J7" s="13" t="s">
        <v>136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10">
        <v>2.811902E7</v>
      </c>
      <c r="E8" s="16">
        <f>1+3</f>
        <v>4</v>
      </c>
      <c r="F8" s="11"/>
      <c r="G8" s="12">
        <f t="shared" si="1"/>
        <v>4</v>
      </c>
      <c r="H8" s="13" t="s">
        <v>137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2.811902E7</v>
      </c>
      <c r="E9" s="16">
        <v>1.0</v>
      </c>
      <c r="F9" s="11">
        <v>1.0</v>
      </c>
      <c r="G9" s="12">
        <f t="shared" si="1"/>
        <v>0</v>
      </c>
      <c r="H9" s="13">
        <v>45998.0</v>
      </c>
      <c r="I9" s="14" t="s">
        <v>14</v>
      </c>
      <c r="J9" s="13">
        <v>45994.0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2.811902E7</v>
      </c>
      <c r="E10" s="16">
        <v>2.0</v>
      </c>
      <c r="F10" s="11">
        <v>6.0</v>
      </c>
      <c r="G10" s="12">
        <f t="shared" si="1"/>
        <v>-4</v>
      </c>
      <c r="H10" s="13">
        <v>45998.0</v>
      </c>
      <c r="I10" s="14" t="s">
        <v>14</v>
      </c>
      <c r="J10" s="13">
        <v>45994.0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/>
      <c r="E11" s="16">
        <v>33.0</v>
      </c>
      <c r="F11" s="11">
        <v>32.0</v>
      </c>
      <c r="G11" s="12">
        <f t="shared" si="1"/>
        <v>1</v>
      </c>
      <c r="H11" s="13"/>
      <c r="I11" s="14"/>
      <c r="J11" s="13">
        <v>45994.0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/>
      <c r="E12" s="16">
        <v>17.0</v>
      </c>
      <c r="F12" s="11">
        <v>17.0</v>
      </c>
      <c r="G12" s="12">
        <f t="shared" si="1"/>
        <v>0</v>
      </c>
      <c r="H12" s="13"/>
      <c r="I12" s="14"/>
      <c r="J12" s="13">
        <v>45994.0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/>
      <c r="E13" s="16"/>
      <c r="F13" s="11">
        <f>6+6</f>
        <v>12</v>
      </c>
      <c r="G13" s="12">
        <f t="shared" si="1"/>
        <v>-12</v>
      </c>
      <c r="H13" s="13"/>
      <c r="I13" s="14"/>
      <c r="J13" s="13" t="s">
        <v>136</v>
      </c>
      <c r="K13" s="7" t="s">
        <v>16</v>
      </c>
      <c r="L13" s="17"/>
    </row>
    <row r="14">
      <c r="A14" s="7">
        <v>12.0</v>
      </c>
      <c r="B14" s="19">
        <v>9.08371013E8</v>
      </c>
      <c r="C14" s="20" t="s">
        <v>121</v>
      </c>
      <c r="D14" s="16">
        <v>2.8234233E7</v>
      </c>
      <c r="E14" s="16">
        <v>5.0</v>
      </c>
      <c r="F14" s="11">
        <v>5.0</v>
      </c>
      <c r="G14" s="12">
        <f t="shared" si="1"/>
        <v>0</v>
      </c>
      <c r="H14" s="13">
        <v>46007.0</v>
      </c>
      <c r="I14" s="14" t="s">
        <v>14</v>
      </c>
      <c r="J14" s="13">
        <v>46009.0</v>
      </c>
      <c r="K14" s="7" t="s">
        <v>16</v>
      </c>
      <c r="L14" s="17"/>
    </row>
    <row r="15">
      <c r="A15" s="7">
        <v>13.0</v>
      </c>
      <c r="B15" s="9">
        <v>9.08402208E8</v>
      </c>
      <c r="C15" s="9" t="s">
        <v>111</v>
      </c>
      <c r="D15" s="16">
        <v>2.8234233E7</v>
      </c>
      <c r="E15" s="16">
        <v>5.0</v>
      </c>
      <c r="F15" s="11">
        <v>5.0</v>
      </c>
      <c r="G15" s="12">
        <f t="shared" si="1"/>
        <v>0</v>
      </c>
      <c r="H15" s="13">
        <v>46007.0</v>
      </c>
      <c r="I15" s="14" t="s">
        <v>14</v>
      </c>
      <c r="J15" s="13">
        <v>46009.0</v>
      </c>
      <c r="K15" s="7" t="s">
        <v>16</v>
      </c>
      <c r="L15" s="17"/>
    </row>
    <row r="16">
      <c r="A16" s="7">
        <v>14.0</v>
      </c>
      <c r="B16" s="8">
        <v>9.08421025E8</v>
      </c>
      <c r="C16" s="9" t="s">
        <v>112</v>
      </c>
      <c r="D16" s="16">
        <v>2.8234233E7</v>
      </c>
      <c r="E16" s="16">
        <v>1.0</v>
      </c>
      <c r="F16" s="11">
        <v>1.0</v>
      </c>
      <c r="G16" s="12">
        <f t="shared" si="1"/>
        <v>0</v>
      </c>
      <c r="H16" s="13">
        <v>46007.0</v>
      </c>
      <c r="I16" s="14" t="s">
        <v>14</v>
      </c>
      <c r="J16" s="13">
        <v>46009.0</v>
      </c>
      <c r="K16" s="7" t="s">
        <v>16</v>
      </c>
      <c r="L16" s="17"/>
    </row>
    <row r="17">
      <c r="A17" s="7">
        <v>15.0</v>
      </c>
      <c r="B17" s="9">
        <v>9.08421031E8</v>
      </c>
      <c r="C17" s="9" t="s">
        <v>122</v>
      </c>
      <c r="D17" s="16">
        <v>2.8234233E7</v>
      </c>
      <c r="E17" s="16">
        <v>2.0</v>
      </c>
      <c r="F17" s="11">
        <v>2.0</v>
      </c>
      <c r="G17" s="12">
        <f t="shared" si="1"/>
        <v>0</v>
      </c>
      <c r="H17" s="13">
        <v>46007.0</v>
      </c>
      <c r="I17" s="14" t="s">
        <v>14</v>
      </c>
      <c r="J17" s="13">
        <v>46009.0</v>
      </c>
      <c r="K17" s="7" t="s">
        <v>16</v>
      </c>
      <c r="L17" s="17"/>
    </row>
    <row r="18">
      <c r="A18" s="7"/>
      <c r="B18" s="8">
        <v>9.08202189E8</v>
      </c>
      <c r="C18" s="9" t="s">
        <v>55</v>
      </c>
      <c r="D18" s="16">
        <v>2.8234233E7</v>
      </c>
      <c r="E18" s="16">
        <v>3.0</v>
      </c>
      <c r="F18" s="11">
        <v>3.0</v>
      </c>
      <c r="G18" s="12">
        <f t="shared" si="1"/>
        <v>0</v>
      </c>
      <c r="H18" s="13">
        <v>46012.0</v>
      </c>
      <c r="I18" s="14" t="s">
        <v>14</v>
      </c>
      <c r="J18" s="13">
        <v>46009.0</v>
      </c>
      <c r="K18" s="7" t="s">
        <v>16</v>
      </c>
      <c r="L18" s="17"/>
    </row>
    <row r="19">
      <c r="A19" s="7"/>
      <c r="B19" s="19"/>
      <c r="C19" s="20"/>
      <c r="D19" s="10"/>
      <c r="E19" s="16"/>
      <c r="F19" s="11"/>
      <c r="G19" s="12"/>
      <c r="H19" s="13"/>
      <c r="I19" s="14"/>
      <c r="J19" s="13"/>
      <c r="K19" s="7"/>
      <c r="L19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57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2.7798813E7</v>
      </c>
      <c r="E3" s="16">
        <v>2.0</v>
      </c>
      <c r="F3" s="11">
        <v>2.0</v>
      </c>
      <c r="G3" s="12">
        <f t="shared" ref="G3:G27" si="1">E3-F3</f>
        <v>0</v>
      </c>
      <c r="H3" s="13">
        <v>45987.0</v>
      </c>
      <c r="I3" s="14" t="s">
        <v>14</v>
      </c>
      <c r="J3" s="13">
        <v>45995.0</v>
      </c>
      <c r="K3" s="7" t="s">
        <v>63</v>
      </c>
      <c r="L3" s="17"/>
    </row>
    <row r="4">
      <c r="A4" s="7">
        <v>2.0</v>
      </c>
      <c r="B4" s="8">
        <v>9.0812101E8</v>
      </c>
      <c r="C4" s="9" t="s">
        <v>18</v>
      </c>
      <c r="D4" s="10">
        <v>2.7798813E7</v>
      </c>
      <c r="E4" s="16">
        <v>2.0</v>
      </c>
      <c r="F4" s="11">
        <v>2.0</v>
      </c>
      <c r="G4" s="12">
        <f t="shared" si="1"/>
        <v>0</v>
      </c>
      <c r="H4" s="13">
        <v>45987.0</v>
      </c>
      <c r="I4" s="14" t="s">
        <v>14</v>
      </c>
      <c r="J4" s="13">
        <v>45995.0</v>
      </c>
      <c r="K4" s="7" t="s">
        <v>63</v>
      </c>
      <c r="L4" s="17"/>
    </row>
    <row r="5">
      <c r="A5" s="7">
        <v>3.0</v>
      </c>
      <c r="B5" s="8">
        <v>9.0812104E8</v>
      </c>
      <c r="C5" s="29" t="s">
        <v>66</v>
      </c>
      <c r="D5" s="10">
        <v>2.7798813E7</v>
      </c>
      <c r="E5" s="16">
        <v>2.0</v>
      </c>
      <c r="F5" s="11">
        <v>2.0</v>
      </c>
      <c r="G5" s="12">
        <f t="shared" si="1"/>
        <v>0</v>
      </c>
      <c r="H5" s="13">
        <v>45987.0</v>
      </c>
      <c r="I5" s="14" t="s">
        <v>14</v>
      </c>
      <c r="J5" s="13">
        <v>45994.0</v>
      </c>
      <c r="K5" s="7" t="s">
        <v>63</v>
      </c>
      <c r="L5" s="17"/>
    </row>
    <row r="6">
      <c r="A6" s="7">
        <v>4.0</v>
      </c>
      <c r="B6" s="8">
        <v>9.08121144E8</v>
      </c>
      <c r="C6" s="29" t="s">
        <v>66</v>
      </c>
      <c r="D6" s="10">
        <v>2.7798813E7</v>
      </c>
      <c r="E6" s="16">
        <v>2.0</v>
      </c>
      <c r="F6" s="11">
        <v>2.0</v>
      </c>
      <c r="G6" s="12">
        <f t="shared" si="1"/>
        <v>0</v>
      </c>
      <c r="H6" s="13">
        <v>45987.0</v>
      </c>
      <c r="I6" s="14" t="s">
        <v>14</v>
      </c>
      <c r="J6" s="13">
        <v>45995.0</v>
      </c>
      <c r="K6" s="7" t="s">
        <v>63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2.7798813E7</v>
      </c>
      <c r="E7" s="16">
        <v>3.0</v>
      </c>
      <c r="F7" s="11">
        <v>3.0</v>
      </c>
      <c r="G7" s="12">
        <f t="shared" si="1"/>
        <v>0</v>
      </c>
      <c r="H7" s="13">
        <v>45987.0</v>
      </c>
      <c r="I7" s="14" t="s">
        <v>14</v>
      </c>
      <c r="J7" s="13">
        <v>45995.0</v>
      </c>
      <c r="K7" s="7" t="s">
        <v>63</v>
      </c>
      <c r="L7" s="17"/>
    </row>
    <row r="8">
      <c r="A8" s="7">
        <v>6.0</v>
      </c>
      <c r="B8" s="8">
        <v>9.0820203E8</v>
      </c>
      <c r="C8" s="9" t="s">
        <v>19</v>
      </c>
      <c r="D8" s="39" t="s">
        <v>139</v>
      </c>
      <c r="E8" s="16">
        <f>2+2</f>
        <v>4</v>
      </c>
      <c r="F8" s="11">
        <v>2.0</v>
      </c>
      <c r="G8" s="12">
        <f t="shared" si="1"/>
        <v>2</v>
      </c>
      <c r="H8" s="13" t="s">
        <v>140</v>
      </c>
      <c r="I8" s="14" t="s">
        <v>14</v>
      </c>
      <c r="J8" s="13">
        <v>45995.0</v>
      </c>
      <c r="K8" s="7" t="s">
        <v>63</v>
      </c>
      <c r="L8" s="17"/>
    </row>
    <row r="9">
      <c r="A9" s="7">
        <v>7.0</v>
      </c>
      <c r="B9" s="8">
        <v>9.0812115E8</v>
      </c>
      <c r="C9" s="9" t="s">
        <v>67</v>
      </c>
      <c r="D9" s="10">
        <v>2.7798813E7</v>
      </c>
      <c r="E9" s="16">
        <v>2.0</v>
      </c>
      <c r="F9" s="11">
        <v>2.0</v>
      </c>
      <c r="G9" s="12">
        <f t="shared" si="1"/>
        <v>0</v>
      </c>
      <c r="H9" s="13">
        <v>45987.0</v>
      </c>
      <c r="I9" s="14" t="s">
        <v>14</v>
      </c>
      <c r="J9" s="13">
        <v>46037.0</v>
      </c>
      <c r="K9" s="7" t="s">
        <v>63</v>
      </c>
      <c r="L9" s="17"/>
    </row>
    <row r="10">
      <c r="A10" s="7">
        <v>8.0</v>
      </c>
      <c r="B10" s="8">
        <v>9.08020201E8</v>
      </c>
      <c r="C10" s="9" t="s">
        <v>13</v>
      </c>
      <c r="D10" s="39" t="s">
        <v>139</v>
      </c>
      <c r="E10" s="16">
        <f>1+1</f>
        <v>2</v>
      </c>
      <c r="F10" s="11">
        <v>6.0</v>
      </c>
      <c r="G10" s="12">
        <f t="shared" si="1"/>
        <v>-4</v>
      </c>
      <c r="H10" s="13" t="s">
        <v>141</v>
      </c>
      <c r="I10" s="14" t="s">
        <v>14</v>
      </c>
      <c r="J10" s="13" t="s">
        <v>142</v>
      </c>
      <c r="K10" s="7" t="s">
        <v>63</v>
      </c>
      <c r="L10" s="17"/>
    </row>
    <row r="11">
      <c r="A11" s="7">
        <v>9.0</v>
      </c>
      <c r="B11" s="19" t="s">
        <v>103</v>
      </c>
      <c r="C11" s="20" t="s">
        <v>104</v>
      </c>
      <c r="D11" s="10">
        <v>2.7798813E7</v>
      </c>
      <c r="E11" s="16">
        <v>1.0</v>
      </c>
      <c r="F11" s="11">
        <v>1.0</v>
      </c>
      <c r="G11" s="12">
        <f t="shared" si="1"/>
        <v>0</v>
      </c>
      <c r="H11" s="13">
        <v>45987.0</v>
      </c>
      <c r="I11" s="14" t="s">
        <v>14</v>
      </c>
      <c r="J11" s="13">
        <v>45995.0</v>
      </c>
      <c r="K11" s="7" t="s">
        <v>63</v>
      </c>
      <c r="L11" s="17"/>
    </row>
    <row r="12">
      <c r="A12" s="7">
        <v>10.0</v>
      </c>
      <c r="B12" s="8">
        <v>9.08202189E8</v>
      </c>
      <c r="C12" s="9" t="s">
        <v>55</v>
      </c>
      <c r="D12" s="39" t="s">
        <v>139</v>
      </c>
      <c r="E12" s="16">
        <f>8+2</f>
        <v>10</v>
      </c>
      <c r="F12" s="11">
        <f>8+3</f>
        <v>11</v>
      </c>
      <c r="G12" s="12">
        <f t="shared" si="1"/>
        <v>-1</v>
      </c>
      <c r="H12" s="13" t="s">
        <v>141</v>
      </c>
      <c r="I12" s="14" t="s">
        <v>14</v>
      </c>
      <c r="J12" s="13" t="s">
        <v>143</v>
      </c>
      <c r="K12" s="7" t="s">
        <v>63</v>
      </c>
      <c r="L12" s="17"/>
    </row>
    <row r="13">
      <c r="A13" s="7">
        <v>11.0</v>
      </c>
      <c r="B13" s="8">
        <v>9.08111101E8</v>
      </c>
      <c r="C13" s="9" t="s">
        <v>24</v>
      </c>
      <c r="D13" s="10">
        <v>2.7798813E7</v>
      </c>
      <c r="E13" s="16">
        <v>6.0</v>
      </c>
      <c r="F13" s="11">
        <f>6+6</f>
        <v>12</v>
      </c>
      <c r="G13" s="12">
        <f t="shared" si="1"/>
        <v>-6</v>
      </c>
      <c r="H13" s="13">
        <v>45987.0</v>
      </c>
      <c r="I13" s="14" t="s">
        <v>14</v>
      </c>
      <c r="J13" s="13" t="s">
        <v>144</v>
      </c>
      <c r="K13" s="7" t="s">
        <v>63</v>
      </c>
      <c r="L13" s="17"/>
    </row>
    <row r="14">
      <c r="A14" s="7">
        <v>12.0</v>
      </c>
      <c r="B14" s="8">
        <v>9.08111102E8</v>
      </c>
      <c r="C14" s="9" t="s">
        <v>145</v>
      </c>
      <c r="D14" s="10">
        <v>2.7798813E7</v>
      </c>
      <c r="E14" s="16">
        <v>25.0</v>
      </c>
      <c r="F14" s="11">
        <v>25.0</v>
      </c>
      <c r="G14" s="12">
        <f t="shared" si="1"/>
        <v>0</v>
      </c>
      <c r="H14" s="13">
        <v>45987.0</v>
      </c>
      <c r="I14" s="14" t="s">
        <v>14</v>
      </c>
      <c r="J14" s="13">
        <v>45994.0</v>
      </c>
      <c r="K14" s="7" t="s">
        <v>63</v>
      </c>
      <c r="L14" s="17"/>
    </row>
    <row r="15">
      <c r="A15" s="7">
        <v>13.0</v>
      </c>
      <c r="B15" s="8" t="s">
        <v>25</v>
      </c>
      <c r="C15" s="9" t="s">
        <v>26</v>
      </c>
      <c r="D15" s="10">
        <v>2.7798813E7</v>
      </c>
      <c r="E15" s="16">
        <v>29.0</v>
      </c>
      <c r="F15" s="11">
        <v>29.0</v>
      </c>
      <c r="G15" s="12">
        <f t="shared" si="1"/>
        <v>0</v>
      </c>
      <c r="H15" s="13">
        <v>45987.0</v>
      </c>
      <c r="I15" s="14" t="s">
        <v>14</v>
      </c>
      <c r="J15" s="13">
        <v>45995.0</v>
      </c>
      <c r="K15" s="7" t="s">
        <v>63</v>
      </c>
      <c r="L15" s="17"/>
    </row>
    <row r="16">
      <c r="A16" s="7">
        <v>14.0</v>
      </c>
      <c r="B16" s="8" t="s">
        <v>27</v>
      </c>
      <c r="C16" s="9" t="s">
        <v>28</v>
      </c>
      <c r="D16" s="10">
        <v>2.7798813E7</v>
      </c>
      <c r="E16" s="16">
        <v>31.0</v>
      </c>
      <c r="F16" s="11">
        <v>31.0</v>
      </c>
      <c r="G16" s="12">
        <f t="shared" si="1"/>
        <v>0</v>
      </c>
      <c r="H16" s="13">
        <v>45987.0</v>
      </c>
      <c r="I16" s="14" t="s">
        <v>14</v>
      </c>
      <c r="J16" s="13">
        <v>45995.0</v>
      </c>
      <c r="K16" s="7" t="s">
        <v>63</v>
      </c>
      <c r="L16" s="17"/>
    </row>
    <row r="17">
      <c r="A17" s="7">
        <v>15.0</v>
      </c>
      <c r="B17" s="8">
        <v>9.08113004E8</v>
      </c>
      <c r="C17" s="9" t="s">
        <v>70</v>
      </c>
      <c r="D17" s="10">
        <v>2.7798813E7</v>
      </c>
      <c r="E17" s="16">
        <v>8.0</v>
      </c>
      <c r="F17" s="11">
        <v>8.0</v>
      </c>
      <c r="G17" s="12">
        <f t="shared" si="1"/>
        <v>0</v>
      </c>
      <c r="H17" s="13">
        <v>45987.0</v>
      </c>
      <c r="I17" s="14" t="s">
        <v>14</v>
      </c>
      <c r="J17" s="13">
        <v>45994.0</v>
      </c>
      <c r="K17" s="7" t="s">
        <v>63</v>
      </c>
      <c r="L17" s="17"/>
    </row>
    <row r="18">
      <c r="A18" s="7">
        <v>16.0</v>
      </c>
      <c r="B18" s="8">
        <v>9.08114004E8</v>
      </c>
      <c r="C18" s="9" t="s">
        <v>69</v>
      </c>
      <c r="D18" s="10">
        <v>2.7798813E7</v>
      </c>
      <c r="E18" s="16">
        <v>150.0</v>
      </c>
      <c r="F18" s="11">
        <v>150.0</v>
      </c>
      <c r="G18" s="12">
        <f t="shared" si="1"/>
        <v>0</v>
      </c>
      <c r="H18" s="13">
        <v>45987.0</v>
      </c>
      <c r="I18" s="14" t="s">
        <v>14</v>
      </c>
      <c r="J18" s="13">
        <v>45995.0</v>
      </c>
      <c r="K18" s="7" t="s">
        <v>63</v>
      </c>
      <c r="L18" s="17"/>
    </row>
    <row r="19">
      <c r="A19" s="7">
        <v>17.0</v>
      </c>
      <c r="B19" s="8">
        <v>9.08122034E8</v>
      </c>
      <c r="C19" s="9" t="s">
        <v>36</v>
      </c>
      <c r="D19" s="10">
        <v>2.7798813E7</v>
      </c>
      <c r="E19" s="16">
        <v>8.0</v>
      </c>
      <c r="F19" s="11">
        <v>8.0</v>
      </c>
      <c r="G19" s="12">
        <f t="shared" si="1"/>
        <v>0</v>
      </c>
      <c r="H19" s="13">
        <v>45987.0</v>
      </c>
      <c r="I19" s="14" t="s">
        <v>14</v>
      </c>
      <c r="J19" s="13">
        <v>45994.0</v>
      </c>
      <c r="K19" s="7" t="s">
        <v>63</v>
      </c>
      <c r="L19" s="17"/>
    </row>
    <row r="20">
      <c r="A20" s="7">
        <v>18.0</v>
      </c>
      <c r="B20" s="19" t="s">
        <v>20</v>
      </c>
      <c r="C20" s="20" t="s">
        <v>21</v>
      </c>
      <c r="D20" s="39" t="s">
        <v>139</v>
      </c>
      <c r="E20" s="16">
        <f>2+4+2</f>
        <v>8</v>
      </c>
      <c r="F20" s="11">
        <f>4+2+3</f>
        <v>9</v>
      </c>
      <c r="G20" s="12">
        <f t="shared" si="1"/>
        <v>-1</v>
      </c>
      <c r="H20" s="13" t="s">
        <v>140</v>
      </c>
      <c r="I20" s="14" t="s">
        <v>14</v>
      </c>
      <c r="J20" s="13" t="s">
        <v>146</v>
      </c>
      <c r="K20" s="7" t="s">
        <v>63</v>
      </c>
      <c r="L20" s="17"/>
    </row>
    <row r="21" ht="15.75" customHeight="1">
      <c r="A21" s="7">
        <v>19.0</v>
      </c>
      <c r="B21" s="8">
        <v>9.08202098E8</v>
      </c>
      <c r="C21" s="9" t="s">
        <v>22</v>
      </c>
      <c r="D21" s="10">
        <v>2.7798813E7</v>
      </c>
      <c r="E21" s="16">
        <v>2.0</v>
      </c>
      <c r="F21" s="11">
        <v>2.0</v>
      </c>
      <c r="G21" s="12">
        <f t="shared" si="1"/>
        <v>0</v>
      </c>
      <c r="H21" s="13">
        <v>45987.0</v>
      </c>
      <c r="I21" s="14" t="s">
        <v>14</v>
      </c>
      <c r="J21" s="13">
        <v>45995.0</v>
      </c>
      <c r="K21" s="7" t="s">
        <v>63</v>
      </c>
      <c r="L21" s="17"/>
    </row>
    <row r="22" ht="15.75" customHeight="1">
      <c r="A22" s="7">
        <v>20.0</v>
      </c>
      <c r="B22" s="41" t="s">
        <v>147</v>
      </c>
      <c r="C22" s="20" t="s">
        <v>148</v>
      </c>
      <c r="D22" s="10">
        <v>2.7798813E7</v>
      </c>
      <c r="E22" s="16">
        <v>1.0</v>
      </c>
      <c r="F22" s="11">
        <v>1.0</v>
      </c>
      <c r="G22" s="12">
        <f t="shared" si="1"/>
        <v>0</v>
      </c>
      <c r="H22" s="13">
        <v>45987.0</v>
      </c>
      <c r="I22" s="14" t="s">
        <v>14</v>
      </c>
      <c r="J22" s="13">
        <v>45994.0</v>
      </c>
      <c r="K22" s="7" t="s">
        <v>63</v>
      </c>
      <c r="L22" s="17"/>
    </row>
    <row r="23" ht="15.75" customHeight="1">
      <c r="A23" s="7">
        <v>21.0</v>
      </c>
      <c r="B23" s="8">
        <v>9.08569114E8</v>
      </c>
      <c r="C23" s="9" t="s">
        <v>149</v>
      </c>
      <c r="D23" s="10">
        <v>2.7798813E7</v>
      </c>
      <c r="E23" s="16">
        <v>1.0</v>
      </c>
      <c r="F23" s="11">
        <v>1.0</v>
      </c>
      <c r="G23" s="12">
        <f t="shared" si="1"/>
        <v>0</v>
      </c>
      <c r="H23" s="13">
        <v>45987.0</v>
      </c>
      <c r="I23" s="14" t="s">
        <v>14</v>
      </c>
      <c r="J23" s="13">
        <v>45994.0</v>
      </c>
      <c r="K23" s="7" t="s">
        <v>63</v>
      </c>
      <c r="L23" s="17"/>
    </row>
    <row r="24" ht="15.75" customHeight="1">
      <c r="A24" s="7">
        <v>22.0</v>
      </c>
      <c r="B24" s="8">
        <v>9.08402208E8</v>
      </c>
      <c r="C24" s="9" t="s">
        <v>111</v>
      </c>
      <c r="D24" s="10">
        <v>2.8377259E7</v>
      </c>
      <c r="E24" s="16">
        <v>5.0</v>
      </c>
      <c r="F24" s="11">
        <v>5.0</v>
      </c>
      <c r="G24" s="12">
        <f t="shared" si="1"/>
        <v>0</v>
      </c>
      <c r="H24" s="13">
        <v>46033.0</v>
      </c>
      <c r="I24" s="14" t="s">
        <v>14</v>
      </c>
      <c r="J24" s="13">
        <v>46035.0</v>
      </c>
      <c r="K24" s="7" t="s">
        <v>63</v>
      </c>
      <c r="L24" s="17"/>
    </row>
    <row r="25" ht="15.75" customHeight="1">
      <c r="A25" s="7">
        <v>23.0</v>
      </c>
      <c r="B25" s="8">
        <v>9.08421025E8</v>
      </c>
      <c r="C25" s="9" t="s">
        <v>112</v>
      </c>
      <c r="D25" s="10">
        <v>2.8377259E7</v>
      </c>
      <c r="E25" s="16">
        <v>1.0</v>
      </c>
      <c r="F25" s="11">
        <v>1.0</v>
      </c>
      <c r="G25" s="12">
        <f t="shared" si="1"/>
        <v>0</v>
      </c>
      <c r="H25" s="13">
        <v>46033.0</v>
      </c>
      <c r="I25" s="14" t="s">
        <v>14</v>
      </c>
      <c r="J25" s="13">
        <v>46035.0</v>
      </c>
      <c r="K25" s="7" t="s">
        <v>63</v>
      </c>
      <c r="L25" s="17"/>
    </row>
    <row r="26" ht="15.75" customHeight="1">
      <c r="A26" s="7">
        <v>24.0</v>
      </c>
      <c r="B26" s="8">
        <v>9.08371012E8</v>
      </c>
      <c r="C26" s="9" t="s">
        <v>150</v>
      </c>
      <c r="D26" s="10">
        <v>2.8377259E7</v>
      </c>
      <c r="E26" s="16">
        <v>5.0</v>
      </c>
      <c r="F26" s="11">
        <v>5.0</v>
      </c>
      <c r="G26" s="12">
        <f t="shared" si="1"/>
        <v>0</v>
      </c>
      <c r="H26" s="13">
        <v>46033.0</v>
      </c>
      <c r="I26" s="14" t="s">
        <v>14</v>
      </c>
      <c r="J26" s="13">
        <v>46035.0</v>
      </c>
      <c r="K26" s="7" t="s">
        <v>63</v>
      </c>
      <c r="L26" s="17"/>
    </row>
    <row r="27" ht="15.75" customHeight="1">
      <c r="A27" s="7">
        <v>25.0</v>
      </c>
      <c r="B27" s="8">
        <v>9.08421031E8</v>
      </c>
      <c r="C27" s="9" t="s">
        <v>151</v>
      </c>
      <c r="D27" s="10">
        <v>2.8377259E7</v>
      </c>
      <c r="E27" s="16">
        <v>2.0</v>
      </c>
      <c r="F27" s="11">
        <v>2.0</v>
      </c>
      <c r="G27" s="12">
        <f t="shared" si="1"/>
        <v>0</v>
      </c>
      <c r="H27" s="13">
        <v>46034.0</v>
      </c>
      <c r="I27" s="14" t="s">
        <v>14</v>
      </c>
      <c r="J27" s="13">
        <v>46035.0</v>
      </c>
      <c r="K27" s="7" t="s">
        <v>63</v>
      </c>
      <c r="L27" s="17"/>
    </row>
    <row r="28" ht="15.75" customHeight="1">
      <c r="A28" s="7"/>
      <c r="B28" s="8"/>
      <c r="C28" s="9"/>
      <c r="D28" s="10"/>
      <c r="E28" s="16"/>
      <c r="F28" s="11"/>
      <c r="G28" s="12"/>
      <c r="H28" s="13"/>
      <c r="I28" s="14"/>
      <c r="J28" s="13"/>
      <c r="K28" s="7"/>
      <c r="L28" s="17"/>
    </row>
    <row r="29" ht="15.75" customHeight="1"/>
    <row r="30" ht="15.75" customHeight="1">
      <c r="C30" s="4" t="s">
        <v>152</v>
      </c>
    </row>
    <row r="31" ht="15.75" customHeight="1">
      <c r="B31" s="8">
        <v>9.08114004E8</v>
      </c>
      <c r="C31" s="9" t="s">
        <v>69</v>
      </c>
      <c r="D31" s="7">
        <v>3.0</v>
      </c>
      <c r="E31" s="7" t="s">
        <v>63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6.75" customHeight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6.75" customHeight="1">
      <c r="A3" s="7">
        <v>1.0</v>
      </c>
      <c r="B3" s="20" t="s">
        <v>35</v>
      </c>
      <c r="C3" s="20" t="s">
        <v>36</v>
      </c>
      <c r="D3" s="7">
        <v>2.8034142E7</v>
      </c>
      <c r="E3" s="7">
        <v>6.0</v>
      </c>
      <c r="F3" s="11">
        <f>6+1</f>
        <v>7</v>
      </c>
      <c r="G3" s="12">
        <f t="shared" ref="G3:G30" si="1">E3-F3</f>
        <v>-1</v>
      </c>
      <c r="H3" s="21">
        <v>45986.0</v>
      </c>
      <c r="I3" s="9" t="s">
        <v>14</v>
      </c>
      <c r="J3" s="22" t="s">
        <v>154</v>
      </c>
      <c r="K3" s="9" t="s">
        <v>37</v>
      </c>
      <c r="L3" s="9"/>
    </row>
    <row r="4" ht="30.0" customHeight="1">
      <c r="A4" s="7">
        <v>2.0</v>
      </c>
      <c r="B4" s="20">
        <v>9.08122039E8</v>
      </c>
      <c r="C4" s="20" t="s">
        <v>38</v>
      </c>
      <c r="D4" s="7">
        <v>2.8034142E7</v>
      </c>
      <c r="E4" s="7">
        <v>2.0</v>
      </c>
      <c r="F4" s="11">
        <v>2.0</v>
      </c>
      <c r="G4" s="12">
        <f t="shared" si="1"/>
        <v>0</v>
      </c>
      <c r="H4" s="21">
        <v>45986.0</v>
      </c>
      <c r="I4" s="9" t="s">
        <v>14</v>
      </c>
      <c r="J4" s="22">
        <v>46059.0</v>
      </c>
      <c r="K4" s="9" t="s">
        <v>37</v>
      </c>
      <c r="L4" s="9"/>
    </row>
    <row r="5" ht="30.0" customHeight="1">
      <c r="A5" s="7">
        <v>3.0</v>
      </c>
      <c r="B5" s="20">
        <v>9.08202056E8</v>
      </c>
      <c r="C5" s="20" t="s">
        <v>39</v>
      </c>
      <c r="D5" s="7">
        <v>2.8034142E7</v>
      </c>
      <c r="E5" s="7">
        <v>2.0</v>
      </c>
      <c r="F5" s="11"/>
      <c r="G5" s="12">
        <f t="shared" si="1"/>
        <v>2</v>
      </c>
      <c r="H5" s="21">
        <v>45986.0</v>
      </c>
      <c r="I5" s="9" t="s">
        <v>14</v>
      </c>
      <c r="J5" s="22"/>
      <c r="K5" s="7"/>
      <c r="L5" s="17"/>
    </row>
    <row r="6" ht="49.5" customHeight="1">
      <c r="A6" s="7">
        <v>4.0</v>
      </c>
      <c r="B6" s="20">
        <v>9.05727933E8</v>
      </c>
      <c r="C6" s="20" t="s">
        <v>155</v>
      </c>
      <c r="D6" s="7">
        <v>2.8034142E7</v>
      </c>
      <c r="E6" s="7">
        <v>12.0</v>
      </c>
      <c r="F6" s="11">
        <v>6.0</v>
      </c>
      <c r="G6" s="12">
        <f t="shared" si="1"/>
        <v>6</v>
      </c>
      <c r="H6" s="21">
        <v>45985.0</v>
      </c>
      <c r="I6" s="9" t="s">
        <v>14</v>
      </c>
      <c r="J6" s="22">
        <v>46076.0</v>
      </c>
      <c r="K6" s="9" t="s">
        <v>37</v>
      </c>
      <c r="L6" s="17"/>
    </row>
    <row r="7" ht="30.0" customHeight="1">
      <c r="A7" s="7">
        <v>5.0</v>
      </c>
      <c r="B7" s="20">
        <v>9.08326001E8</v>
      </c>
      <c r="C7" s="20" t="s">
        <v>156</v>
      </c>
      <c r="D7" s="7">
        <v>2.8034142E7</v>
      </c>
      <c r="E7" s="7">
        <v>1.0</v>
      </c>
      <c r="F7" s="42">
        <v>1.0</v>
      </c>
      <c r="G7" s="12">
        <f t="shared" si="1"/>
        <v>0</v>
      </c>
      <c r="H7" s="21">
        <v>45986.0</v>
      </c>
      <c r="I7" s="9" t="s">
        <v>14</v>
      </c>
      <c r="J7" s="22">
        <v>46012.0</v>
      </c>
      <c r="K7" s="9" t="s">
        <v>37</v>
      </c>
      <c r="L7" s="17"/>
    </row>
    <row r="8" ht="30.0" customHeight="1">
      <c r="A8" s="7">
        <v>6.0</v>
      </c>
      <c r="B8" s="20" t="s">
        <v>20</v>
      </c>
      <c r="C8" s="20" t="s">
        <v>21</v>
      </c>
      <c r="D8" s="7">
        <v>2.8034142E7</v>
      </c>
      <c r="E8" s="7">
        <v>4.0</v>
      </c>
      <c r="F8" s="11"/>
      <c r="G8" s="12">
        <f t="shared" si="1"/>
        <v>4</v>
      </c>
      <c r="H8" s="21">
        <v>45986.0</v>
      </c>
      <c r="I8" s="9" t="s">
        <v>14</v>
      </c>
      <c r="J8" s="22"/>
      <c r="K8" s="7"/>
      <c r="L8" s="17"/>
    </row>
    <row r="9" ht="30.0" customHeight="1">
      <c r="A9" s="7">
        <v>7.0</v>
      </c>
      <c r="B9" s="20">
        <v>9.08402205E8</v>
      </c>
      <c r="C9" s="20" t="s">
        <v>157</v>
      </c>
      <c r="D9" s="7">
        <v>2.8034142E7</v>
      </c>
      <c r="E9" s="7">
        <v>1.0</v>
      </c>
      <c r="F9" s="11">
        <v>1.0</v>
      </c>
      <c r="G9" s="12">
        <f t="shared" si="1"/>
        <v>0</v>
      </c>
      <c r="H9" s="21">
        <v>45986.0</v>
      </c>
      <c r="I9" s="9" t="s">
        <v>14</v>
      </c>
      <c r="J9" s="22">
        <v>46074.0</v>
      </c>
      <c r="K9" s="9" t="s">
        <v>37</v>
      </c>
      <c r="L9" s="17"/>
    </row>
    <row r="10" ht="53.25" customHeight="1">
      <c r="A10" s="7">
        <v>8.0</v>
      </c>
      <c r="B10" s="23">
        <v>9.07004E8</v>
      </c>
      <c r="C10" s="20" t="s">
        <v>158</v>
      </c>
      <c r="D10" s="7">
        <v>2.8034142E7</v>
      </c>
      <c r="E10" s="7">
        <v>12.0</v>
      </c>
      <c r="F10" s="11">
        <v>6.0</v>
      </c>
      <c r="G10" s="12">
        <f t="shared" si="1"/>
        <v>6</v>
      </c>
      <c r="H10" s="21">
        <v>45985.0</v>
      </c>
      <c r="I10" s="9" t="s">
        <v>14</v>
      </c>
      <c r="J10" s="22">
        <v>46076.0</v>
      </c>
      <c r="K10" s="9" t="s">
        <v>37</v>
      </c>
      <c r="L10" s="17"/>
    </row>
    <row r="11" ht="43.5" customHeight="1">
      <c r="A11" s="7">
        <v>9.0</v>
      </c>
      <c r="B11" s="23">
        <v>9.08020203E8</v>
      </c>
      <c r="C11" s="20" t="s">
        <v>159</v>
      </c>
      <c r="D11" s="7">
        <v>2.8034142E7</v>
      </c>
      <c r="E11" s="7">
        <v>2.0</v>
      </c>
      <c r="F11" s="11"/>
      <c r="G11" s="12">
        <f t="shared" si="1"/>
        <v>2</v>
      </c>
      <c r="H11" s="21">
        <v>45985.0</v>
      </c>
      <c r="I11" s="9" t="s">
        <v>14</v>
      </c>
      <c r="J11" s="22"/>
      <c r="K11" s="7"/>
      <c r="L11" s="17"/>
    </row>
    <row r="12" ht="30.0" customHeight="1">
      <c r="A12" s="7">
        <v>10.0</v>
      </c>
      <c r="B12" s="20">
        <v>9.08421004E8</v>
      </c>
      <c r="C12" s="20" t="s">
        <v>160</v>
      </c>
      <c r="D12" s="7">
        <v>2.8034142E7</v>
      </c>
      <c r="E12" s="7">
        <v>1.0</v>
      </c>
      <c r="F12" s="11">
        <v>1.0</v>
      </c>
      <c r="G12" s="12">
        <f t="shared" si="1"/>
        <v>0</v>
      </c>
      <c r="H12" s="21">
        <v>45985.0</v>
      </c>
      <c r="I12" s="9" t="s">
        <v>14</v>
      </c>
      <c r="J12" s="22">
        <v>46074.0</v>
      </c>
      <c r="K12" s="9" t="s">
        <v>37</v>
      </c>
      <c r="L12" s="17"/>
    </row>
    <row r="13" ht="30.0" customHeight="1">
      <c r="A13" s="7">
        <v>11.0</v>
      </c>
      <c r="B13" s="20">
        <v>9.05705625E8</v>
      </c>
      <c r="C13" s="20" t="s">
        <v>161</v>
      </c>
      <c r="D13" s="7">
        <v>2.8034142E7</v>
      </c>
      <c r="E13" s="7">
        <v>1.0</v>
      </c>
      <c r="F13" s="11"/>
      <c r="G13" s="12">
        <f t="shared" si="1"/>
        <v>1</v>
      </c>
      <c r="H13" s="21">
        <v>45986.0</v>
      </c>
      <c r="I13" s="9" t="s">
        <v>14</v>
      </c>
      <c r="J13" s="22"/>
      <c r="K13" s="7"/>
      <c r="L13" s="17"/>
    </row>
    <row r="14" ht="30.0" customHeight="1">
      <c r="A14" s="7">
        <v>12.0</v>
      </c>
      <c r="B14" s="20">
        <v>9.08122038E8</v>
      </c>
      <c r="C14" s="20" t="s">
        <v>162</v>
      </c>
      <c r="D14" s="7">
        <v>2.8034142E7</v>
      </c>
      <c r="E14" s="7">
        <v>6.0</v>
      </c>
      <c r="F14" s="11"/>
      <c r="G14" s="12">
        <f t="shared" si="1"/>
        <v>6</v>
      </c>
      <c r="H14" s="21">
        <v>45986.0</v>
      </c>
      <c r="I14" s="9" t="s">
        <v>14</v>
      </c>
      <c r="J14" s="22"/>
      <c r="K14" s="7"/>
      <c r="L14" s="17"/>
    </row>
    <row r="15" ht="30.0" customHeight="1">
      <c r="A15" s="7">
        <v>13.0</v>
      </c>
      <c r="B15" s="20">
        <v>9.04045204E8</v>
      </c>
      <c r="C15" s="20" t="s">
        <v>163</v>
      </c>
      <c r="D15" s="7">
        <v>2.8034142E7</v>
      </c>
      <c r="E15" s="7">
        <v>6.0</v>
      </c>
      <c r="F15" s="11">
        <v>1.0</v>
      </c>
      <c r="G15" s="12">
        <f t="shared" si="1"/>
        <v>5</v>
      </c>
      <c r="H15" s="21">
        <v>45986.0</v>
      </c>
      <c r="I15" s="9" t="s">
        <v>14</v>
      </c>
      <c r="J15" s="22">
        <v>46114.0</v>
      </c>
      <c r="K15" s="7" t="s">
        <v>37</v>
      </c>
      <c r="L15" s="17"/>
    </row>
    <row r="16" ht="44.25" customHeight="1">
      <c r="A16" s="7">
        <v>14.0</v>
      </c>
      <c r="B16" s="23" t="s">
        <v>164</v>
      </c>
      <c r="C16" s="20" t="s">
        <v>165</v>
      </c>
      <c r="D16" s="7">
        <v>2.8034142E7</v>
      </c>
      <c r="E16" s="7">
        <v>6.0</v>
      </c>
      <c r="F16" s="11">
        <v>6.0</v>
      </c>
      <c r="G16" s="12">
        <f t="shared" si="1"/>
        <v>0</v>
      </c>
      <c r="H16" s="21">
        <v>45985.0</v>
      </c>
      <c r="I16" s="9" t="s">
        <v>14</v>
      </c>
      <c r="J16" s="22">
        <v>46059.0</v>
      </c>
      <c r="K16" s="7" t="s">
        <v>37</v>
      </c>
      <c r="L16" s="43"/>
    </row>
    <row r="17" ht="30.0" customHeight="1">
      <c r="A17" s="7">
        <v>15.0</v>
      </c>
      <c r="B17" s="8">
        <v>9.08202189E8</v>
      </c>
      <c r="C17" s="9" t="s">
        <v>55</v>
      </c>
      <c r="D17" s="7">
        <v>2.8034142E7</v>
      </c>
      <c r="E17" s="7">
        <v>11.0</v>
      </c>
      <c r="F17" s="11">
        <v>6.0</v>
      </c>
      <c r="G17" s="12">
        <f t="shared" si="1"/>
        <v>5</v>
      </c>
      <c r="H17" s="21">
        <v>45985.0</v>
      </c>
      <c r="I17" s="9" t="s">
        <v>14</v>
      </c>
      <c r="J17" s="22">
        <v>46063.0</v>
      </c>
      <c r="K17" s="7" t="s">
        <v>37</v>
      </c>
      <c r="L17" s="17"/>
    </row>
    <row r="18" ht="30.0" customHeight="1">
      <c r="A18" s="7">
        <v>16.0</v>
      </c>
      <c r="B18" s="8">
        <v>9.05743739E8</v>
      </c>
      <c r="C18" s="9" t="s">
        <v>42</v>
      </c>
      <c r="D18" s="7">
        <v>2.8034142E7</v>
      </c>
      <c r="E18" s="7">
        <v>30.0</v>
      </c>
      <c r="F18" s="11"/>
      <c r="G18" s="12">
        <f t="shared" si="1"/>
        <v>30</v>
      </c>
      <c r="H18" s="21">
        <v>45986.0</v>
      </c>
      <c r="I18" s="9" t="s">
        <v>14</v>
      </c>
      <c r="J18" s="22"/>
      <c r="K18" s="7"/>
      <c r="L18" s="17"/>
    </row>
    <row r="19" ht="30.0" customHeight="1">
      <c r="A19" s="7">
        <v>17.0</v>
      </c>
      <c r="B19" s="8">
        <v>9.0812108E8</v>
      </c>
      <c r="C19" s="9" t="s">
        <v>166</v>
      </c>
      <c r="D19" s="7">
        <v>2.8034142E7</v>
      </c>
      <c r="E19" s="7">
        <v>6.0</v>
      </c>
      <c r="F19" s="11"/>
      <c r="G19" s="12">
        <f t="shared" si="1"/>
        <v>6</v>
      </c>
      <c r="H19" s="21">
        <v>45986.0</v>
      </c>
      <c r="I19" s="9" t="s">
        <v>14</v>
      </c>
      <c r="J19" s="22"/>
      <c r="K19" s="7"/>
      <c r="L19" s="17"/>
    </row>
    <row r="20" ht="30.0" customHeight="1">
      <c r="A20" s="7">
        <v>18.0</v>
      </c>
      <c r="B20" s="8">
        <v>9.08122018E8</v>
      </c>
      <c r="C20" s="20" t="s">
        <v>167</v>
      </c>
      <c r="D20" s="7">
        <v>2.8034142E7</v>
      </c>
      <c r="E20" s="7">
        <v>4.0</v>
      </c>
      <c r="F20" s="11">
        <v>2.0</v>
      </c>
      <c r="G20" s="12">
        <f t="shared" si="1"/>
        <v>2</v>
      </c>
      <c r="H20" s="21">
        <v>45986.0</v>
      </c>
      <c r="I20" s="9" t="s">
        <v>14</v>
      </c>
      <c r="J20" s="22">
        <v>46076.0</v>
      </c>
      <c r="K20" s="7" t="s">
        <v>37</v>
      </c>
      <c r="L20" s="17"/>
    </row>
    <row r="21" ht="41.25" customHeight="1">
      <c r="A21" s="7">
        <v>19.0</v>
      </c>
      <c r="B21" s="19">
        <v>9.08111102E8</v>
      </c>
      <c r="C21" s="20" t="s">
        <v>168</v>
      </c>
      <c r="D21" s="7">
        <v>2.8034142E7</v>
      </c>
      <c r="E21" s="7">
        <v>40.0</v>
      </c>
      <c r="F21" s="11">
        <f>40+2</f>
        <v>42</v>
      </c>
      <c r="G21" s="12">
        <f t="shared" si="1"/>
        <v>-2</v>
      </c>
      <c r="H21" s="21">
        <v>45998.0</v>
      </c>
      <c r="I21" s="9" t="s">
        <v>14</v>
      </c>
      <c r="J21" s="22" t="s">
        <v>154</v>
      </c>
      <c r="K21" s="7" t="s">
        <v>37</v>
      </c>
      <c r="L21" s="17"/>
    </row>
    <row r="22" ht="30.0" customHeight="1">
      <c r="A22" s="7">
        <v>20.0</v>
      </c>
      <c r="B22" s="19">
        <v>9.0820203E8</v>
      </c>
      <c r="C22" s="20" t="s">
        <v>19</v>
      </c>
      <c r="D22" s="7">
        <v>2.8034142E7</v>
      </c>
      <c r="E22" s="7">
        <v>3.0</v>
      </c>
      <c r="F22" s="11"/>
      <c r="G22" s="12">
        <f t="shared" si="1"/>
        <v>3</v>
      </c>
      <c r="H22" s="21">
        <v>45986.0</v>
      </c>
      <c r="I22" s="9" t="s">
        <v>14</v>
      </c>
      <c r="J22" s="22"/>
      <c r="K22" s="7"/>
      <c r="L22" s="17"/>
    </row>
    <row r="23" ht="30.0" customHeight="1">
      <c r="A23" s="7">
        <v>21.0</v>
      </c>
      <c r="B23" s="19">
        <v>9.08202053E8</v>
      </c>
      <c r="C23" s="20" t="s">
        <v>21</v>
      </c>
      <c r="D23" s="7">
        <v>2.8034142E7</v>
      </c>
      <c r="E23" s="7">
        <v>1.0</v>
      </c>
      <c r="F23" s="11"/>
      <c r="G23" s="12">
        <f t="shared" si="1"/>
        <v>1</v>
      </c>
      <c r="H23" s="21">
        <v>45986.0</v>
      </c>
      <c r="I23" s="9" t="s">
        <v>14</v>
      </c>
      <c r="J23" s="22"/>
      <c r="K23" s="7"/>
      <c r="L23" s="17"/>
    </row>
    <row r="24" ht="53.25" customHeight="1">
      <c r="A24" s="7">
        <v>22.0</v>
      </c>
      <c r="B24" s="19">
        <v>9.08111003E8</v>
      </c>
      <c r="C24" s="20" t="s">
        <v>169</v>
      </c>
      <c r="D24" s="7">
        <v>2.8034142E7</v>
      </c>
      <c r="E24" s="7">
        <f>1000+125</f>
        <v>1125</v>
      </c>
      <c r="F24" s="11">
        <f>445+445</f>
        <v>890</v>
      </c>
      <c r="G24" s="12">
        <f t="shared" si="1"/>
        <v>235</v>
      </c>
      <c r="H24" s="22" t="s">
        <v>170</v>
      </c>
      <c r="I24" s="9" t="s">
        <v>14</v>
      </c>
      <c r="J24" s="22">
        <v>46056.0</v>
      </c>
      <c r="K24" s="7" t="s">
        <v>37</v>
      </c>
      <c r="L24" s="17"/>
    </row>
    <row r="25" ht="102.75" customHeight="1">
      <c r="A25" s="7">
        <v>23.0</v>
      </c>
      <c r="B25" s="9">
        <v>9.05705551E8</v>
      </c>
      <c r="C25" s="9" t="s">
        <v>171</v>
      </c>
      <c r="D25" s="7">
        <v>2.8034142E7</v>
      </c>
      <c r="E25" s="7">
        <f>2016+999+153+212</f>
        <v>3380</v>
      </c>
      <c r="F25" s="11">
        <f>446+446+446+447+444+446</f>
        <v>2675</v>
      </c>
      <c r="G25" s="12">
        <f t="shared" si="1"/>
        <v>705</v>
      </c>
      <c r="H25" s="22" t="s">
        <v>172</v>
      </c>
      <c r="I25" s="9" t="s">
        <v>14</v>
      </c>
      <c r="J25" s="22" t="s">
        <v>173</v>
      </c>
      <c r="K25" s="7" t="s">
        <v>37</v>
      </c>
      <c r="L25" s="17"/>
    </row>
    <row r="26" ht="30.0" customHeight="1">
      <c r="A26" s="7">
        <v>24.0</v>
      </c>
      <c r="B26" s="19">
        <v>9.05708973E8</v>
      </c>
      <c r="C26" s="20" t="s">
        <v>43</v>
      </c>
      <c r="D26" s="7">
        <v>2.8379597E7</v>
      </c>
      <c r="E26" s="7">
        <v>2.0</v>
      </c>
      <c r="F26" s="11"/>
      <c r="G26" s="12">
        <f t="shared" si="1"/>
        <v>2</v>
      </c>
      <c r="H26" s="22">
        <v>46036.0</v>
      </c>
      <c r="I26" s="9" t="s">
        <v>14</v>
      </c>
      <c r="J26" s="22"/>
      <c r="K26" s="7"/>
      <c r="L26" s="17"/>
    </row>
    <row r="27" ht="45.0" customHeight="1">
      <c r="A27" s="7">
        <v>25.0</v>
      </c>
      <c r="B27" s="19">
        <v>2.8034142E7</v>
      </c>
      <c r="C27" s="20" t="s">
        <v>174</v>
      </c>
      <c r="D27" s="7">
        <v>2.8034142E7</v>
      </c>
      <c r="E27" s="7"/>
      <c r="F27" s="11">
        <v>12.0</v>
      </c>
      <c r="G27" s="12">
        <f t="shared" si="1"/>
        <v>-12</v>
      </c>
      <c r="H27" s="22"/>
      <c r="I27" s="9"/>
      <c r="J27" s="22">
        <v>46074.0</v>
      </c>
      <c r="K27" s="7" t="s">
        <v>37</v>
      </c>
    </row>
    <row r="28" ht="45.0" customHeight="1">
      <c r="A28" s="7"/>
      <c r="B28" s="8">
        <v>9.08122037E8</v>
      </c>
      <c r="C28" s="9" t="s">
        <v>175</v>
      </c>
      <c r="D28" s="7"/>
      <c r="E28" s="7"/>
      <c r="F28" s="11">
        <v>3.0</v>
      </c>
      <c r="G28" s="12">
        <f t="shared" si="1"/>
        <v>-3</v>
      </c>
      <c r="H28" s="22"/>
      <c r="I28" s="9"/>
      <c r="J28" s="22">
        <v>46114.0</v>
      </c>
      <c r="K28" s="7" t="s">
        <v>37</v>
      </c>
    </row>
    <row r="29" ht="69.75" customHeight="1">
      <c r="A29" s="7">
        <v>25.0</v>
      </c>
      <c r="B29" s="19" t="s">
        <v>176</v>
      </c>
      <c r="C29" s="20" t="s">
        <v>177</v>
      </c>
      <c r="D29" s="7"/>
      <c r="E29" s="7"/>
      <c r="F29" s="11">
        <f>2+1+1</f>
        <v>4</v>
      </c>
      <c r="G29" s="12">
        <f t="shared" si="1"/>
        <v>-4</v>
      </c>
      <c r="H29" s="22"/>
      <c r="I29" s="9"/>
      <c r="J29" s="22" t="s">
        <v>178</v>
      </c>
      <c r="K29" s="7" t="s">
        <v>37</v>
      </c>
    </row>
    <row r="30" ht="69.75" customHeight="1">
      <c r="A30" s="7"/>
      <c r="B30" s="8">
        <v>9.08202098E8</v>
      </c>
      <c r="C30" s="9" t="s">
        <v>22</v>
      </c>
      <c r="D30" s="7"/>
      <c r="E30" s="7"/>
      <c r="F30" s="11">
        <v>1.0</v>
      </c>
      <c r="G30" s="12">
        <f t="shared" si="1"/>
        <v>-1</v>
      </c>
      <c r="H30" s="44"/>
      <c r="I30" s="29"/>
      <c r="J30" s="44">
        <v>46114.0</v>
      </c>
      <c r="K30" s="7" t="s">
        <v>37</v>
      </c>
    </row>
    <row r="31" ht="30.0" customHeight="1">
      <c r="A31" s="4" t="s">
        <v>1</v>
      </c>
      <c r="B31" s="5" t="s">
        <v>2</v>
      </c>
      <c r="C31" s="4" t="s">
        <v>3</v>
      </c>
      <c r="D31" s="4" t="s">
        <v>5</v>
      </c>
      <c r="E31" s="4" t="s">
        <v>6</v>
      </c>
      <c r="F31" s="6" t="s">
        <v>7</v>
      </c>
      <c r="G31" s="45" t="s">
        <v>179</v>
      </c>
      <c r="H31" s="27"/>
      <c r="I31" s="45" t="s">
        <v>5</v>
      </c>
      <c r="J31" s="27"/>
      <c r="K31" s="46" t="s">
        <v>11</v>
      </c>
    </row>
    <row r="32" ht="30.0" customHeight="1">
      <c r="A32" s="7">
        <v>1.0</v>
      </c>
      <c r="B32" s="9">
        <v>9.05705551E8</v>
      </c>
      <c r="C32" s="9" t="s">
        <v>171</v>
      </c>
      <c r="D32" s="7">
        <v>503.0</v>
      </c>
      <c r="E32" s="11">
        <v>446.0</v>
      </c>
      <c r="F32" s="12">
        <f t="shared" ref="F32:F33" si="2">D32-E32</f>
        <v>57</v>
      </c>
      <c r="G32" s="47" t="s">
        <v>180</v>
      </c>
      <c r="H32" s="27"/>
      <c r="I32" s="47">
        <v>46056.0</v>
      </c>
      <c r="J32" s="27"/>
      <c r="K32" s="20" t="s">
        <v>37</v>
      </c>
    </row>
    <row r="33" ht="30.0" customHeight="1">
      <c r="A33" s="7">
        <v>2.0</v>
      </c>
      <c r="B33" s="9">
        <v>9.05705551E8</v>
      </c>
      <c r="C33" s="9" t="s">
        <v>171</v>
      </c>
      <c r="D33" s="7">
        <v>501.0</v>
      </c>
      <c r="E33" s="11">
        <v>446.0</v>
      </c>
      <c r="F33" s="12">
        <f t="shared" si="2"/>
        <v>55</v>
      </c>
      <c r="G33" s="47" t="s">
        <v>181</v>
      </c>
      <c r="H33" s="27"/>
      <c r="I33" s="47">
        <v>46056.0</v>
      </c>
      <c r="J33" s="27"/>
      <c r="K33" s="20" t="s">
        <v>37</v>
      </c>
    </row>
    <row r="34" ht="30.0" customHeight="1">
      <c r="A34" s="7">
        <v>3.0</v>
      </c>
      <c r="B34" s="9">
        <v>9.05705551E8</v>
      </c>
      <c r="C34" s="9" t="s">
        <v>171</v>
      </c>
      <c r="D34" s="7">
        <v>504.0</v>
      </c>
      <c r="E34" s="11">
        <v>446.0</v>
      </c>
      <c r="F34" s="12">
        <v>58.0</v>
      </c>
      <c r="G34" s="47" t="s">
        <v>182</v>
      </c>
      <c r="H34" s="27"/>
      <c r="I34" s="47">
        <v>46057.0</v>
      </c>
      <c r="J34" s="27"/>
      <c r="K34" s="20" t="s">
        <v>37</v>
      </c>
    </row>
    <row r="35" ht="30.0" customHeight="1">
      <c r="A35" s="7">
        <v>4.0</v>
      </c>
      <c r="B35" s="9">
        <v>9.05705551E8</v>
      </c>
      <c r="C35" s="9" t="s">
        <v>171</v>
      </c>
      <c r="D35" s="7">
        <v>504.0</v>
      </c>
      <c r="E35" s="11">
        <v>447.0</v>
      </c>
      <c r="F35" s="12">
        <v>57.0</v>
      </c>
      <c r="G35" s="47" t="s">
        <v>183</v>
      </c>
      <c r="H35" s="27"/>
      <c r="I35" s="47">
        <v>46057.0</v>
      </c>
      <c r="J35" s="27"/>
      <c r="K35" s="20" t="s">
        <v>37</v>
      </c>
    </row>
    <row r="36" ht="30.0" customHeight="1">
      <c r="A36" s="7">
        <v>5.0</v>
      </c>
      <c r="B36" s="9">
        <v>9.05705551E8</v>
      </c>
      <c r="C36" s="9" t="s">
        <v>171</v>
      </c>
      <c r="D36" s="7">
        <v>498.0</v>
      </c>
      <c r="E36" s="11">
        <v>444.0</v>
      </c>
      <c r="F36" s="12">
        <v>54.0</v>
      </c>
      <c r="G36" s="47" t="s">
        <v>184</v>
      </c>
      <c r="H36" s="27"/>
      <c r="I36" s="47">
        <v>46057.0</v>
      </c>
      <c r="J36" s="27"/>
      <c r="K36" s="20" t="s">
        <v>37</v>
      </c>
    </row>
    <row r="37" ht="30.0" customHeight="1">
      <c r="A37" s="7">
        <v>6.0</v>
      </c>
      <c r="B37" s="9">
        <v>9.05705551E8</v>
      </c>
      <c r="C37" s="9" t="s">
        <v>171</v>
      </c>
      <c r="D37" s="7">
        <v>500.0</v>
      </c>
      <c r="E37" s="11">
        <v>446.0</v>
      </c>
      <c r="F37" s="12">
        <v>54.0</v>
      </c>
      <c r="G37" s="47" t="s">
        <v>185</v>
      </c>
      <c r="H37" s="27"/>
      <c r="I37" s="47">
        <v>46057.0</v>
      </c>
      <c r="J37" s="27"/>
      <c r="K37" s="20" t="s">
        <v>37</v>
      </c>
    </row>
    <row r="38" ht="30.0" customHeight="1">
      <c r="A38" s="7"/>
      <c r="B38" s="9"/>
      <c r="C38" s="9"/>
      <c r="D38" s="7"/>
    </row>
    <row r="39" ht="30.0" customHeight="1"/>
    <row r="40" ht="30.0" customHeight="1">
      <c r="A40" s="4" t="s">
        <v>1</v>
      </c>
      <c r="B40" s="5" t="s">
        <v>2</v>
      </c>
      <c r="C40" s="4" t="s">
        <v>3</v>
      </c>
      <c r="D40" s="4" t="s">
        <v>5</v>
      </c>
      <c r="E40" s="4" t="s">
        <v>6</v>
      </c>
      <c r="F40" s="6" t="s">
        <v>7</v>
      </c>
      <c r="G40" s="45" t="s">
        <v>179</v>
      </c>
      <c r="H40" s="27"/>
      <c r="I40" s="45" t="s">
        <v>8</v>
      </c>
      <c r="J40" s="27"/>
      <c r="K40" s="46" t="s">
        <v>11</v>
      </c>
    </row>
    <row r="41" ht="30.0" customHeight="1">
      <c r="A41" s="7">
        <v>1.0</v>
      </c>
      <c r="B41" s="9">
        <v>9.08111003E8</v>
      </c>
      <c r="C41" s="9" t="s">
        <v>169</v>
      </c>
      <c r="D41" s="7">
        <v>500.0</v>
      </c>
      <c r="E41" s="11">
        <v>445.0</v>
      </c>
      <c r="F41" s="12">
        <f t="shared" ref="F41:F42" si="3">D41-E41</f>
        <v>55</v>
      </c>
      <c r="G41" s="47" t="s">
        <v>186</v>
      </c>
      <c r="H41" s="27"/>
      <c r="I41" s="47">
        <v>46057.0</v>
      </c>
      <c r="J41" s="27"/>
      <c r="K41" s="20" t="s">
        <v>37</v>
      </c>
    </row>
    <row r="42" ht="30.0" customHeight="1">
      <c r="A42" s="7">
        <v>2.0</v>
      </c>
      <c r="B42" s="9">
        <v>9.08111003E8</v>
      </c>
      <c r="C42" s="9" t="s">
        <v>169</v>
      </c>
      <c r="D42" s="7">
        <v>500.0</v>
      </c>
      <c r="E42" s="11">
        <v>445.0</v>
      </c>
      <c r="F42" s="12">
        <f t="shared" si="3"/>
        <v>55</v>
      </c>
      <c r="G42" s="47" t="s">
        <v>187</v>
      </c>
      <c r="H42" s="27"/>
      <c r="I42" s="47">
        <v>46057.0</v>
      </c>
      <c r="J42" s="27"/>
      <c r="K42" s="20" t="s">
        <v>37</v>
      </c>
    </row>
    <row r="43" ht="30.0" customHeight="1"/>
    <row r="44" ht="30.0" customHeight="1"/>
    <row r="45" ht="30.0" customHeight="1">
      <c r="A45" s="4" t="s">
        <v>1</v>
      </c>
      <c r="B45" s="5" t="s">
        <v>2</v>
      </c>
      <c r="C45" s="4" t="s">
        <v>188</v>
      </c>
      <c r="D45" s="4" t="s">
        <v>5</v>
      </c>
      <c r="E45" s="4" t="s">
        <v>189</v>
      </c>
      <c r="F45" s="45" t="s">
        <v>11</v>
      </c>
      <c r="G45" s="27"/>
    </row>
    <row r="46" ht="30.0" customHeight="1">
      <c r="A46" s="7">
        <v>1.0</v>
      </c>
      <c r="B46" s="9">
        <v>9.05705551E8</v>
      </c>
      <c r="C46" s="9" t="s">
        <v>171</v>
      </c>
      <c r="D46" s="7">
        <f>2.56+4.44+5.13+5.88+3.9+3.25+3.33+3.47+3.9+3.77+2.79+2.7+0.76+0.76+0.74+0.87+0.66+0.74</f>
        <v>49.65</v>
      </c>
      <c r="E46" s="15">
        <v>46063.0</v>
      </c>
      <c r="F46" s="28" t="s">
        <v>37</v>
      </c>
      <c r="G46" s="27"/>
    </row>
    <row r="47" ht="30.0" customHeight="1">
      <c r="A47" s="7">
        <v>2.0</v>
      </c>
      <c r="B47" s="9">
        <v>9.05705551E8</v>
      </c>
      <c r="C47" s="9" t="s">
        <v>171</v>
      </c>
      <c r="D47" s="7">
        <f>1.19+1.12+1.13+0.95+0.98+0.54</f>
        <v>5.91</v>
      </c>
      <c r="E47" s="15">
        <v>46064.0</v>
      </c>
      <c r="F47" s="28" t="s">
        <v>37</v>
      </c>
      <c r="G47" s="27"/>
    </row>
    <row r="48" ht="30.0" customHeight="1">
      <c r="A48" s="7">
        <v>3.0</v>
      </c>
      <c r="B48" s="9">
        <v>9.05705551E8</v>
      </c>
      <c r="C48" s="9" t="s">
        <v>171</v>
      </c>
      <c r="D48" s="7">
        <f>0.86+0.6+0.71+0.61+0.92+1.13+0.77+0.77+0.77+1.66+1.85+1.9+1.86+1.5+1.8+0.82+1.7</f>
        <v>20.23</v>
      </c>
      <c r="E48" s="15">
        <v>46076.0</v>
      </c>
      <c r="F48" s="28" t="s">
        <v>37</v>
      </c>
      <c r="G48" s="27"/>
    </row>
    <row r="49" ht="30.0" customHeight="1">
      <c r="A49" s="4" t="s">
        <v>1</v>
      </c>
      <c r="B49" s="5" t="s">
        <v>2</v>
      </c>
      <c r="C49" s="4" t="s">
        <v>190</v>
      </c>
      <c r="D49" s="4" t="s">
        <v>5</v>
      </c>
      <c r="E49" s="4" t="s">
        <v>89</v>
      </c>
      <c r="F49" s="45" t="s">
        <v>11</v>
      </c>
      <c r="G49" s="27"/>
    </row>
    <row r="50" ht="30.0" customHeight="1">
      <c r="A50" s="7">
        <v>1.0</v>
      </c>
      <c r="B50" s="9">
        <v>9.08111003E8</v>
      </c>
      <c r="C50" s="9" t="s">
        <v>169</v>
      </c>
      <c r="D50" s="7">
        <f>4.53+4.53</f>
        <v>9.06</v>
      </c>
      <c r="E50" s="15">
        <v>46063.0</v>
      </c>
      <c r="F50" s="28" t="s">
        <v>37</v>
      </c>
      <c r="G50" s="27"/>
    </row>
    <row r="51" ht="30.0" customHeight="1">
      <c r="A51" s="7">
        <v>2.0</v>
      </c>
      <c r="B51" s="9">
        <v>9.08111003E8</v>
      </c>
      <c r="C51" s="9" t="s">
        <v>169</v>
      </c>
      <c r="D51" s="7">
        <f>2.14+2.14</f>
        <v>4.28</v>
      </c>
      <c r="E51" s="15">
        <v>46076.0</v>
      </c>
      <c r="F51" s="28" t="s">
        <v>37</v>
      </c>
      <c r="G51" s="27"/>
    </row>
    <row r="52" ht="30.0" customHeight="1">
      <c r="A52" s="7"/>
      <c r="B52" s="48"/>
      <c r="C52" s="7"/>
      <c r="D52" s="7"/>
      <c r="E52" s="7"/>
      <c r="F52" s="28"/>
      <c r="G52" s="27"/>
    </row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29">
    <mergeCell ref="A1:L1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I37:J37"/>
    <mergeCell ref="F45:G45"/>
    <mergeCell ref="F46:G46"/>
    <mergeCell ref="F47:G47"/>
    <mergeCell ref="F48:G48"/>
    <mergeCell ref="F49:G49"/>
    <mergeCell ref="F50:G50"/>
    <mergeCell ref="F51:G51"/>
    <mergeCell ref="F52:G52"/>
    <mergeCell ref="G37:H37"/>
    <mergeCell ref="G40:H40"/>
    <mergeCell ref="I40:J40"/>
    <mergeCell ref="G41:H41"/>
    <mergeCell ref="I41:J41"/>
    <mergeCell ref="G42:H42"/>
    <mergeCell ref="I42:J42"/>
  </mergeCells>
  <printOptions/>
  <pageMargins bottom="0.75" footer="0.0" header="0.0" left="0.7" right="0.7" top="0.75"/>
  <pageSetup scale="27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9.08202098E8</v>
      </c>
      <c r="C3" s="9" t="s">
        <v>22</v>
      </c>
      <c r="D3" s="10">
        <v>2.8099408E7</v>
      </c>
      <c r="E3" s="16">
        <v>2.0</v>
      </c>
      <c r="F3" s="11">
        <v>2.0</v>
      </c>
      <c r="G3" s="12">
        <f t="shared" ref="G3:G23" si="1">E3-F3</f>
        <v>0</v>
      </c>
      <c r="H3" s="13">
        <v>45985.0</v>
      </c>
      <c r="I3" s="14" t="s">
        <v>14</v>
      </c>
      <c r="J3" s="13">
        <v>46008.0</v>
      </c>
      <c r="K3" s="7" t="s">
        <v>63</v>
      </c>
      <c r="L3" s="17"/>
    </row>
    <row r="4">
      <c r="A4" s="7">
        <v>2.0</v>
      </c>
      <c r="B4" s="19">
        <v>9.08020201E8</v>
      </c>
      <c r="C4" s="20" t="s">
        <v>13</v>
      </c>
      <c r="D4" s="10">
        <v>2.8099408E7</v>
      </c>
      <c r="E4" s="16">
        <v>3.0</v>
      </c>
      <c r="F4" s="11">
        <v>2.0</v>
      </c>
      <c r="G4" s="12">
        <f t="shared" si="1"/>
        <v>1</v>
      </c>
      <c r="H4" s="13">
        <v>45985.0</v>
      </c>
      <c r="I4" s="14" t="s">
        <v>14</v>
      </c>
      <c r="J4" s="13">
        <v>46015.0</v>
      </c>
      <c r="K4" s="7" t="s">
        <v>63</v>
      </c>
      <c r="L4" s="17"/>
    </row>
    <row r="5">
      <c r="A5" s="7">
        <v>3.0</v>
      </c>
      <c r="B5" s="19" t="s">
        <v>103</v>
      </c>
      <c r="C5" s="20" t="s">
        <v>104</v>
      </c>
      <c r="D5" s="10">
        <v>2.8099408E7</v>
      </c>
      <c r="E5" s="16">
        <v>1.0</v>
      </c>
      <c r="F5" s="11">
        <v>1.0</v>
      </c>
      <c r="G5" s="12">
        <f t="shared" si="1"/>
        <v>0</v>
      </c>
      <c r="H5" s="13">
        <v>45985.0</v>
      </c>
      <c r="I5" s="14" t="s">
        <v>14</v>
      </c>
      <c r="J5" s="13">
        <v>46008.0</v>
      </c>
      <c r="K5" s="7" t="s">
        <v>63</v>
      </c>
      <c r="L5" s="17"/>
    </row>
    <row r="6">
      <c r="A6" s="7">
        <v>4.0</v>
      </c>
      <c r="B6" s="19">
        <v>9.08121008E8</v>
      </c>
      <c r="C6" s="20" t="s">
        <v>17</v>
      </c>
      <c r="D6" s="10">
        <v>2.8099408E7</v>
      </c>
      <c r="E6" s="16">
        <v>2.0</v>
      </c>
      <c r="F6" s="11">
        <v>2.0</v>
      </c>
      <c r="G6" s="12">
        <f t="shared" si="1"/>
        <v>0</v>
      </c>
      <c r="H6" s="13">
        <v>45986.0</v>
      </c>
      <c r="I6" s="14" t="s">
        <v>14</v>
      </c>
      <c r="J6" s="13">
        <v>46011.0</v>
      </c>
      <c r="K6" s="7" t="s">
        <v>63</v>
      </c>
      <c r="L6" s="17"/>
    </row>
    <row r="7">
      <c r="A7" s="7">
        <v>5.0</v>
      </c>
      <c r="B7" s="19">
        <v>9.0812101E8</v>
      </c>
      <c r="C7" s="20" t="s">
        <v>18</v>
      </c>
      <c r="D7" s="10">
        <v>2.8099408E7</v>
      </c>
      <c r="E7" s="16">
        <v>2.0</v>
      </c>
      <c r="F7" s="11">
        <f>1+1</f>
        <v>2</v>
      </c>
      <c r="G7" s="12">
        <f t="shared" si="1"/>
        <v>0</v>
      </c>
      <c r="H7" s="13">
        <v>45986.0</v>
      </c>
      <c r="I7" s="14" t="s">
        <v>14</v>
      </c>
      <c r="J7" s="13" t="s">
        <v>192</v>
      </c>
      <c r="K7" s="7" t="s">
        <v>63</v>
      </c>
      <c r="L7" s="17"/>
    </row>
    <row r="8">
      <c r="A8" s="7">
        <v>6.0</v>
      </c>
      <c r="B8" s="19" t="s">
        <v>20</v>
      </c>
      <c r="C8" s="20" t="s">
        <v>21</v>
      </c>
      <c r="D8" s="10">
        <v>2.8099408E7</v>
      </c>
      <c r="E8" s="16">
        <v>6.0</v>
      </c>
      <c r="F8" s="11">
        <f>2+4</f>
        <v>6</v>
      </c>
      <c r="G8" s="12">
        <f t="shared" si="1"/>
        <v>0</v>
      </c>
      <c r="H8" s="13">
        <v>45986.0</v>
      </c>
      <c r="I8" s="14" t="s">
        <v>14</v>
      </c>
      <c r="J8" s="13" t="s">
        <v>193</v>
      </c>
      <c r="K8" s="7" t="s">
        <v>63</v>
      </c>
      <c r="L8" s="17"/>
    </row>
    <row r="9">
      <c r="A9" s="7">
        <v>7.0</v>
      </c>
      <c r="B9" s="19">
        <v>9.0812104E8</v>
      </c>
      <c r="C9" s="20" t="s">
        <v>66</v>
      </c>
      <c r="D9" s="10">
        <v>2.8099408E7</v>
      </c>
      <c r="E9" s="16">
        <v>2.0</v>
      </c>
      <c r="F9" s="11">
        <v>2.0</v>
      </c>
      <c r="G9" s="12">
        <f t="shared" si="1"/>
        <v>0</v>
      </c>
      <c r="H9" s="13">
        <v>45986.0</v>
      </c>
      <c r="I9" s="14" t="s">
        <v>14</v>
      </c>
      <c r="J9" s="13">
        <v>46015.0</v>
      </c>
      <c r="K9" s="7" t="s">
        <v>63</v>
      </c>
      <c r="L9" s="17"/>
    </row>
    <row r="10">
      <c r="A10" s="7">
        <v>8.0</v>
      </c>
      <c r="B10" s="19">
        <v>9.08121144E8</v>
      </c>
      <c r="C10" s="20" t="s">
        <v>66</v>
      </c>
      <c r="D10" s="10">
        <v>2.8099408E7</v>
      </c>
      <c r="E10" s="16">
        <v>3.0</v>
      </c>
      <c r="F10" s="11">
        <v>6.0</v>
      </c>
      <c r="G10" s="12">
        <f t="shared" si="1"/>
        <v>-3</v>
      </c>
      <c r="H10" s="13">
        <v>45986.0</v>
      </c>
      <c r="I10" s="14" t="s">
        <v>14</v>
      </c>
      <c r="J10" s="13" t="s">
        <v>194</v>
      </c>
      <c r="K10" s="7" t="s">
        <v>63</v>
      </c>
      <c r="L10" s="17"/>
    </row>
    <row r="11">
      <c r="A11" s="7">
        <v>9.0</v>
      </c>
      <c r="B11" s="19">
        <v>9.0812115E8</v>
      </c>
      <c r="C11" s="20" t="s">
        <v>67</v>
      </c>
      <c r="D11" s="10">
        <v>2.8099408E7</v>
      </c>
      <c r="E11" s="16">
        <v>1.0</v>
      </c>
      <c r="F11" s="11">
        <v>1.0</v>
      </c>
      <c r="G11" s="12">
        <f t="shared" si="1"/>
        <v>0</v>
      </c>
      <c r="H11" s="13">
        <v>45986.0</v>
      </c>
      <c r="I11" s="14" t="s">
        <v>14</v>
      </c>
      <c r="J11" s="13">
        <v>46030.0</v>
      </c>
      <c r="K11" s="7" t="s">
        <v>63</v>
      </c>
      <c r="L11" s="17"/>
    </row>
    <row r="12">
      <c r="A12" s="7">
        <v>10.0</v>
      </c>
      <c r="B12" s="19">
        <v>9.08122011E8</v>
      </c>
      <c r="C12" s="20" t="s">
        <v>195</v>
      </c>
      <c r="D12" s="10">
        <v>2.8099408E7</v>
      </c>
      <c r="E12" s="16">
        <v>3.0</v>
      </c>
      <c r="F12" s="11">
        <v>3.0</v>
      </c>
      <c r="G12" s="12">
        <f t="shared" si="1"/>
        <v>0</v>
      </c>
      <c r="H12" s="13">
        <v>45986.0</v>
      </c>
      <c r="I12" s="14" t="s">
        <v>14</v>
      </c>
      <c r="J12" s="13">
        <v>46015.0</v>
      </c>
      <c r="K12" s="7" t="s">
        <v>63</v>
      </c>
      <c r="L12" s="17"/>
    </row>
    <row r="13">
      <c r="A13" s="7">
        <v>11.0</v>
      </c>
      <c r="B13" s="20" t="s">
        <v>35</v>
      </c>
      <c r="C13" s="20" t="s">
        <v>36</v>
      </c>
      <c r="D13" s="39" t="s">
        <v>196</v>
      </c>
      <c r="E13" s="16">
        <f>4+4</f>
        <v>8</v>
      </c>
      <c r="F13" s="11">
        <v>8.0</v>
      </c>
      <c r="G13" s="12">
        <f t="shared" si="1"/>
        <v>0</v>
      </c>
      <c r="H13" s="13" t="s">
        <v>197</v>
      </c>
      <c r="I13" s="14" t="s">
        <v>14</v>
      </c>
      <c r="J13" s="13">
        <v>46015.0</v>
      </c>
      <c r="K13" s="7" t="s">
        <v>63</v>
      </c>
      <c r="L13" s="17"/>
    </row>
    <row r="14">
      <c r="A14" s="7">
        <v>12.0</v>
      </c>
      <c r="B14" s="19">
        <v>9.0820203E8</v>
      </c>
      <c r="C14" s="20" t="s">
        <v>19</v>
      </c>
      <c r="D14" s="39" t="s">
        <v>198</v>
      </c>
      <c r="E14" s="16">
        <f>2+2</f>
        <v>4</v>
      </c>
      <c r="F14" s="11">
        <v>2.0</v>
      </c>
      <c r="G14" s="12">
        <f t="shared" si="1"/>
        <v>2</v>
      </c>
      <c r="H14" s="13" t="s">
        <v>199</v>
      </c>
      <c r="I14" s="14" t="s">
        <v>14</v>
      </c>
      <c r="J14" s="13">
        <v>46008.0</v>
      </c>
      <c r="K14" s="7" t="s">
        <v>63</v>
      </c>
      <c r="L14" s="17"/>
    </row>
    <row r="15">
      <c r="A15" s="7">
        <v>13.0</v>
      </c>
      <c r="B15" s="8">
        <v>9.08202189E8</v>
      </c>
      <c r="C15" s="9" t="s">
        <v>55</v>
      </c>
      <c r="D15" s="39" t="s">
        <v>196</v>
      </c>
      <c r="E15" s="16">
        <f>5+3</f>
        <v>8</v>
      </c>
      <c r="F15" s="11">
        <v>8.0</v>
      </c>
      <c r="G15" s="12">
        <f t="shared" si="1"/>
        <v>0</v>
      </c>
      <c r="H15" s="13" t="s">
        <v>200</v>
      </c>
      <c r="I15" s="14" t="s">
        <v>14</v>
      </c>
      <c r="J15" s="13">
        <v>46015.0</v>
      </c>
      <c r="K15" s="7" t="s">
        <v>63</v>
      </c>
      <c r="L15" s="17"/>
    </row>
    <row r="16">
      <c r="A16" s="7">
        <v>14.0</v>
      </c>
      <c r="B16" s="20">
        <v>9.08111101E8</v>
      </c>
      <c r="C16" s="20" t="s">
        <v>24</v>
      </c>
      <c r="D16" s="10">
        <v>2.8099408E7</v>
      </c>
      <c r="E16" s="16">
        <v>6.0</v>
      </c>
      <c r="F16" s="11">
        <v>6.0</v>
      </c>
      <c r="G16" s="12">
        <f t="shared" si="1"/>
        <v>0</v>
      </c>
      <c r="H16" s="13">
        <v>45985.0</v>
      </c>
      <c r="I16" s="14" t="s">
        <v>14</v>
      </c>
      <c r="J16" s="13">
        <v>46008.0</v>
      </c>
      <c r="K16" s="7" t="s">
        <v>63</v>
      </c>
      <c r="L16" s="17"/>
    </row>
    <row r="17">
      <c r="A17" s="7">
        <v>15.0</v>
      </c>
      <c r="B17" s="20" t="s">
        <v>25</v>
      </c>
      <c r="C17" s="20" t="s">
        <v>26</v>
      </c>
      <c r="D17" s="10">
        <v>2.8099408E7</v>
      </c>
      <c r="E17" s="16">
        <v>33.0</v>
      </c>
      <c r="F17" s="11">
        <v>33.0</v>
      </c>
      <c r="G17" s="12">
        <f t="shared" si="1"/>
        <v>0</v>
      </c>
      <c r="H17" s="13"/>
      <c r="I17" s="14"/>
      <c r="J17" s="13">
        <v>46011.0</v>
      </c>
      <c r="K17" s="7" t="s">
        <v>63</v>
      </c>
      <c r="L17" s="17"/>
    </row>
    <row r="18">
      <c r="A18" s="7">
        <v>16.0</v>
      </c>
      <c r="B18" s="20" t="s">
        <v>27</v>
      </c>
      <c r="C18" s="20" t="s">
        <v>28</v>
      </c>
      <c r="D18" s="10">
        <v>2.8099408E7</v>
      </c>
      <c r="E18" s="16">
        <v>70.0</v>
      </c>
      <c r="F18" s="11">
        <v>68.0</v>
      </c>
      <c r="G18" s="12">
        <f t="shared" si="1"/>
        <v>2</v>
      </c>
      <c r="H18" s="13">
        <v>46000.0</v>
      </c>
      <c r="I18" s="14" t="s">
        <v>14</v>
      </c>
      <c r="J18" s="13">
        <v>46011.0</v>
      </c>
      <c r="K18" s="7" t="s">
        <v>63</v>
      </c>
      <c r="L18" s="17"/>
    </row>
    <row r="19">
      <c r="A19" s="7">
        <v>17.0</v>
      </c>
      <c r="B19" s="20">
        <v>9.08114004E8</v>
      </c>
      <c r="C19" s="20" t="s">
        <v>69</v>
      </c>
      <c r="D19" s="10">
        <v>2.8099408E7</v>
      </c>
      <c r="E19" s="16">
        <v>185.0</v>
      </c>
      <c r="F19" s="11">
        <v>178.0</v>
      </c>
      <c r="G19" s="12">
        <f t="shared" si="1"/>
        <v>7</v>
      </c>
      <c r="H19" s="13"/>
      <c r="I19" s="14"/>
      <c r="J19" s="13">
        <v>46011.0</v>
      </c>
      <c r="K19" s="7" t="s">
        <v>63</v>
      </c>
      <c r="L19" s="17"/>
    </row>
    <row r="20">
      <c r="A20" s="7">
        <v>18.0</v>
      </c>
      <c r="B20" s="20">
        <v>9.08569114E8</v>
      </c>
      <c r="C20" s="20" t="s">
        <v>149</v>
      </c>
      <c r="D20" s="10">
        <v>2.8099408E7</v>
      </c>
      <c r="E20" s="16">
        <v>1.0</v>
      </c>
      <c r="F20" s="11">
        <v>1.0</v>
      </c>
      <c r="G20" s="12">
        <f t="shared" si="1"/>
        <v>0</v>
      </c>
      <c r="H20" s="13">
        <v>46014.0</v>
      </c>
      <c r="I20" s="14" t="s">
        <v>14</v>
      </c>
      <c r="J20" s="13">
        <v>46015.0</v>
      </c>
      <c r="K20" s="7" t="s">
        <v>63</v>
      </c>
      <c r="L20" s="17"/>
    </row>
    <row r="21" ht="15.75" customHeight="1">
      <c r="A21" s="7">
        <v>19.0</v>
      </c>
      <c r="B21" s="20">
        <v>9.08321012E8</v>
      </c>
      <c r="C21" s="20" t="s">
        <v>201</v>
      </c>
      <c r="D21" s="10">
        <v>2.8099408E7</v>
      </c>
      <c r="E21" s="16">
        <v>1.0</v>
      </c>
      <c r="F21" s="11">
        <v>1.0</v>
      </c>
      <c r="G21" s="12">
        <f t="shared" si="1"/>
        <v>0</v>
      </c>
      <c r="H21" s="13">
        <v>46014.0</v>
      </c>
      <c r="I21" s="14" t="s">
        <v>14</v>
      </c>
      <c r="J21" s="13">
        <v>46015.0</v>
      </c>
      <c r="K21" s="7" t="s">
        <v>63</v>
      </c>
      <c r="L21" s="49" t="s">
        <v>202</v>
      </c>
    </row>
    <row r="22" ht="15.75" customHeight="1">
      <c r="A22" s="7">
        <v>20.0</v>
      </c>
      <c r="B22" s="8">
        <v>9.08111102E8</v>
      </c>
      <c r="C22" s="9" t="s">
        <v>145</v>
      </c>
      <c r="D22" s="10"/>
      <c r="E22" s="16">
        <v>25.0</v>
      </c>
      <c r="F22" s="11">
        <v>25.0</v>
      </c>
      <c r="G22" s="12">
        <f t="shared" si="1"/>
        <v>0</v>
      </c>
      <c r="H22" s="13"/>
      <c r="I22" s="14"/>
      <c r="J22" s="13">
        <v>46015.0</v>
      </c>
      <c r="K22" s="7" t="s">
        <v>63</v>
      </c>
      <c r="L22" s="17"/>
    </row>
    <row r="23" ht="15.75" customHeight="1">
      <c r="A23" s="7">
        <v>21.0</v>
      </c>
      <c r="B23" s="8">
        <v>9.08113004E8</v>
      </c>
      <c r="C23" s="9" t="s">
        <v>203</v>
      </c>
      <c r="D23" s="10">
        <v>2.8099408E7</v>
      </c>
      <c r="E23" s="16">
        <v>9.0</v>
      </c>
      <c r="F23" s="11">
        <v>8.0</v>
      </c>
      <c r="G23" s="12">
        <f t="shared" si="1"/>
        <v>1</v>
      </c>
      <c r="H23" s="13"/>
      <c r="I23" s="14"/>
      <c r="J23" s="13">
        <v>46015.0</v>
      </c>
      <c r="K23" s="7" t="s">
        <v>63</v>
      </c>
      <c r="L23" s="17"/>
    </row>
    <row r="24" ht="15.75" customHeight="1">
      <c r="A24" s="7"/>
      <c r="B24" s="8"/>
      <c r="C24" s="9"/>
      <c r="D24" s="10"/>
      <c r="E24" s="16"/>
      <c r="F24" s="11"/>
      <c r="G24" s="12"/>
      <c r="H24" s="13"/>
      <c r="I24" s="14"/>
      <c r="J24" s="13"/>
      <c r="K24" s="7"/>
      <c r="L24" s="17"/>
    </row>
    <row r="25" ht="15.75" customHeight="1">
      <c r="A25" s="7"/>
      <c r="B25" s="8"/>
      <c r="C25" s="9"/>
      <c r="D25" s="10"/>
      <c r="E25" s="16"/>
      <c r="F25" s="11"/>
      <c r="G25" s="12"/>
      <c r="H25" s="13"/>
      <c r="I25" s="14"/>
      <c r="J25" s="13"/>
      <c r="K25" s="7"/>
      <c r="L25" s="17"/>
    </row>
    <row r="26" ht="15.75" customHeight="1">
      <c r="A26" s="7"/>
      <c r="B26" s="8"/>
      <c r="C26" s="9"/>
      <c r="D26" s="10"/>
      <c r="E26" s="16"/>
      <c r="F26" s="11"/>
      <c r="G26" s="12"/>
      <c r="H26" s="13"/>
      <c r="I26" s="14"/>
      <c r="J26" s="13"/>
      <c r="K26" s="7"/>
      <c r="L26" s="17"/>
    </row>
    <row r="27" ht="15.75" customHeight="1">
      <c r="A27" s="7"/>
      <c r="B27" s="8"/>
      <c r="C27" s="9"/>
      <c r="D27" s="10"/>
      <c r="E27" s="16"/>
      <c r="F27" s="11"/>
      <c r="G27" s="12"/>
      <c r="H27" s="13"/>
      <c r="I27" s="14"/>
      <c r="J27" s="13"/>
      <c r="K27" s="7"/>
      <c r="L27" s="17"/>
    </row>
    <row r="28" ht="15.75" customHeight="1"/>
    <row r="29" ht="15.75" customHeight="1"/>
    <row r="30" ht="15.75" customHeight="1">
      <c r="A30" s="4" t="s">
        <v>1</v>
      </c>
      <c r="B30" s="5" t="s">
        <v>2</v>
      </c>
      <c r="C30" s="4" t="s">
        <v>3</v>
      </c>
      <c r="D30" s="4" t="s">
        <v>5</v>
      </c>
      <c r="E30" s="25" t="s">
        <v>11</v>
      </c>
      <c r="F30" s="3"/>
    </row>
    <row r="31" ht="15.75" customHeight="1">
      <c r="A31" s="7">
        <v>1.0</v>
      </c>
      <c r="B31" s="20">
        <v>9.08114004E8</v>
      </c>
      <c r="C31" s="20" t="s">
        <v>204</v>
      </c>
      <c r="D31" s="10">
        <v>4.0</v>
      </c>
      <c r="E31" s="50" t="s">
        <v>63</v>
      </c>
      <c r="F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E30:F30"/>
    <mergeCell ref="E31:F31"/>
  </mergeCells>
  <printOptions/>
  <pageMargins bottom="0.75" footer="0.0" header="0.0" left="0.7" right="0.7" top="0.75"/>
  <pageSetup scale="27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9.08202098E8</v>
      </c>
      <c r="C3" s="9" t="s">
        <v>22</v>
      </c>
      <c r="D3" s="10">
        <v>2.8099369E7</v>
      </c>
      <c r="E3" s="16">
        <v>2.0</v>
      </c>
      <c r="F3" s="11">
        <v>2.0</v>
      </c>
      <c r="G3" s="12">
        <f t="shared" ref="G3:G17" si="1">E3-F3</f>
        <v>0</v>
      </c>
      <c r="H3" s="13">
        <v>45985.0</v>
      </c>
      <c r="I3" s="14" t="s">
        <v>14</v>
      </c>
      <c r="J3" s="13">
        <v>46018.0</v>
      </c>
      <c r="K3" s="7" t="s">
        <v>63</v>
      </c>
      <c r="L3" s="17"/>
    </row>
    <row r="4">
      <c r="A4" s="7">
        <v>2.0</v>
      </c>
      <c r="B4" s="19">
        <v>9.08020201E8</v>
      </c>
      <c r="C4" s="20" t="s">
        <v>13</v>
      </c>
      <c r="D4" s="39" t="s">
        <v>206</v>
      </c>
      <c r="E4" s="16">
        <f>1+3</f>
        <v>4</v>
      </c>
      <c r="F4" s="11">
        <v>1.0</v>
      </c>
      <c r="G4" s="12">
        <f t="shared" si="1"/>
        <v>3</v>
      </c>
      <c r="H4" s="13" t="s">
        <v>207</v>
      </c>
      <c r="I4" s="14" t="s">
        <v>14</v>
      </c>
      <c r="J4" s="13">
        <v>46018.0</v>
      </c>
      <c r="K4" s="7" t="s">
        <v>63</v>
      </c>
      <c r="L4" s="17"/>
    </row>
    <row r="5">
      <c r="A5" s="7">
        <v>3.0</v>
      </c>
      <c r="B5" s="8">
        <v>9.08312027E8</v>
      </c>
      <c r="C5" s="9" t="s">
        <v>15</v>
      </c>
      <c r="D5" s="10">
        <v>2.8099369E7</v>
      </c>
      <c r="E5" s="16">
        <v>1.0</v>
      </c>
      <c r="F5" s="11">
        <v>1.0</v>
      </c>
      <c r="G5" s="12">
        <f t="shared" si="1"/>
        <v>0</v>
      </c>
      <c r="H5" s="13">
        <v>45985.0</v>
      </c>
      <c r="I5" s="14" t="s">
        <v>14</v>
      </c>
      <c r="J5" s="13">
        <v>46018.0</v>
      </c>
      <c r="K5" s="7" t="s">
        <v>63</v>
      </c>
      <c r="L5" s="17"/>
    </row>
    <row r="6">
      <c r="A6" s="7">
        <v>4.0</v>
      </c>
      <c r="B6" s="19">
        <v>9.08121008E8</v>
      </c>
      <c r="C6" s="20" t="s">
        <v>17</v>
      </c>
      <c r="D6" s="10">
        <v>2.8099369E7</v>
      </c>
      <c r="E6" s="16">
        <v>3.0</v>
      </c>
      <c r="F6" s="11">
        <v>3.0</v>
      </c>
      <c r="G6" s="12">
        <f t="shared" si="1"/>
        <v>0</v>
      </c>
      <c r="H6" s="13">
        <v>46002.0</v>
      </c>
      <c r="I6" s="14" t="s">
        <v>14</v>
      </c>
      <c r="J6" s="13">
        <v>46018.0</v>
      </c>
      <c r="K6" s="7" t="s">
        <v>63</v>
      </c>
      <c r="L6" s="17"/>
    </row>
    <row r="7">
      <c r="A7" s="7">
        <v>5.0</v>
      </c>
      <c r="B7" s="19">
        <v>9.0812101E8</v>
      </c>
      <c r="C7" s="20" t="s">
        <v>18</v>
      </c>
      <c r="D7" s="10">
        <v>2.8099369E7</v>
      </c>
      <c r="E7" s="16">
        <v>2.0</v>
      </c>
      <c r="F7" s="11">
        <v>2.0</v>
      </c>
      <c r="G7" s="12">
        <f t="shared" si="1"/>
        <v>0</v>
      </c>
      <c r="H7" s="13">
        <v>46002.0</v>
      </c>
      <c r="I7" s="14" t="s">
        <v>14</v>
      </c>
      <c r="J7" s="13">
        <v>46018.0</v>
      </c>
      <c r="K7" s="7" t="s">
        <v>63</v>
      </c>
      <c r="L7" s="17"/>
    </row>
    <row r="8">
      <c r="A8" s="7">
        <v>6.0</v>
      </c>
      <c r="B8" s="19" t="s">
        <v>20</v>
      </c>
      <c r="C8" s="20" t="s">
        <v>21</v>
      </c>
      <c r="D8" s="39" t="s">
        <v>206</v>
      </c>
      <c r="E8" s="16">
        <f>2+2+1</f>
        <v>5</v>
      </c>
      <c r="F8" s="11">
        <f>2+3</f>
        <v>5</v>
      </c>
      <c r="G8" s="12">
        <f t="shared" si="1"/>
        <v>0</v>
      </c>
      <c r="H8" s="13" t="s">
        <v>208</v>
      </c>
      <c r="I8" s="14" t="s">
        <v>14</v>
      </c>
      <c r="J8" s="13" t="s">
        <v>209</v>
      </c>
      <c r="K8" s="51" t="s">
        <v>210</v>
      </c>
      <c r="L8" s="17"/>
    </row>
    <row r="9">
      <c r="A9" s="7">
        <v>7.0</v>
      </c>
      <c r="B9" s="19">
        <v>9.08122011E8</v>
      </c>
      <c r="C9" s="20" t="s">
        <v>23</v>
      </c>
      <c r="D9" s="10">
        <v>2.8099369E7</v>
      </c>
      <c r="E9" s="16">
        <v>3.0</v>
      </c>
      <c r="F9" s="11">
        <v>3.0</v>
      </c>
      <c r="G9" s="12">
        <f t="shared" si="1"/>
        <v>0</v>
      </c>
      <c r="H9" s="13">
        <v>46002.0</v>
      </c>
      <c r="I9" s="14" t="s">
        <v>14</v>
      </c>
      <c r="J9" s="13">
        <v>46018.0</v>
      </c>
      <c r="K9" s="7" t="s">
        <v>63</v>
      </c>
      <c r="L9" s="17"/>
    </row>
    <row r="10">
      <c r="A10" s="7">
        <v>8.0</v>
      </c>
      <c r="B10" s="19">
        <v>9.0820203E8</v>
      </c>
      <c r="C10" s="20" t="s">
        <v>19</v>
      </c>
      <c r="D10" s="39" t="s">
        <v>206</v>
      </c>
      <c r="E10" s="16">
        <f>2+2</f>
        <v>4</v>
      </c>
      <c r="F10" s="11">
        <v>6.0</v>
      </c>
      <c r="G10" s="12">
        <f t="shared" si="1"/>
        <v>-2</v>
      </c>
      <c r="H10" s="13" t="s">
        <v>211</v>
      </c>
      <c r="I10" s="14" t="s">
        <v>14</v>
      </c>
      <c r="J10" s="13">
        <v>46018.0</v>
      </c>
      <c r="K10" s="7" t="s">
        <v>63</v>
      </c>
      <c r="L10" s="17"/>
    </row>
    <row r="11">
      <c r="A11" s="7">
        <v>9.0</v>
      </c>
      <c r="B11" s="20" t="s">
        <v>25</v>
      </c>
      <c r="C11" s="20" t="s">
        <v>26</v>
      </c>
      <c r="D11" s="10">
        <v>2.8099369E7</v>
      </c>
      <c r="E11" s="16">
        <v>115.0</v>
      </c>
      <c r="F11" s="11">
        <v>124.0</v>
      </c>
      <c r="G11" s="12">
        <f t="shared" si="1"/>
        <v>-9</v>
      </c>
      <c r="H11" s="13">
        <v>46002.0</v>
      </c>
      <c r="I11" s="14" t="s">
        <v>14</v>
      </c>
      <c r="J11" s="13">
        <v>46018.0</v>
      </c>
      <c r="K11" s="7" t="s">
        <v>63</v>
      </c>
      <c r="L11" s="17"/>
    </row>
    <row r="12">
      <c r="A12" s="7">
        <v>10.0</v>
      </c>
      <c r="B12" s="20" t="s">
        <v>27</v>
      </c>
      <c r="C12" s="20" t="s">
        <v>28</v>
      </c>
      <c r="D12" s="10">
        <v>2.8099369E7</v>
      </c>
      <c r="E12" s="16">
        <v>88.0</v>
      </c>
      <c r="F12" s="11">
        <v>90.0</v>
      </c>
      <c r="G12" s="12">
        <f t="shared" si="1"/>
        <v>-2</v>
      </c>
      <c r="H12" s="13">
        <v>46002.0</v>
      </c>
      <c r="I12" s="14" t="s">
        <v>14</v>
      </c>
      <c r="J12" s="13">
        <v>46018.0</v>
      </c>
      <c r="K12" s="7" t="s">
        <v>63</v>
      </c>
      <c r="L12" s="17"/>
    </row>
    <row r="13">
      <c r="A13" s="7">
        <v>11.0</v>
      </c>
      <c r="B13" s="20">
        <v>9.08111101E8</v>
      </c>
      <c r="C13" s="20" t="s">
        <v>24</v>
      </c>
      <c r="D13" s="39" t="s">
        <v>206</v>
      </c>
      <c r="E13" s="16">
        <f t="shared" ref="E13:F13" si="2">6+6</f>
        <v>12</v>
      </c>
      <c r="F13" s="11">
        <f t="shared" si="2"/>
        <v>12</v>
      </c>
      <c r="G13" s="12">
        <f t="shared" si="1"/>
        <v>0</v>
      </c>
      <c r="H13" s="13">
        <v>46002.0</v>
      </c>
      <c r="I13" s="14" t="s">
        <v>14</v>
      </c>
      <c r="J13" s="13" t="s">
        <v>209</v>
      </c>
      <c r="K13" s="7" t="s">
        <v>63</v>
      </c>
      <c r="L13" s="17"/>
    </row>
    <row r="14">
      <c r="A14" s="7">
        <v>12.0</v>
      </c>
      <c r="B14" s="8">
        <v>9.08402208E8</v>
      </c>
      <c r="C14" s="9" t="s">
        <v>111</v>
      </c>
      <c r="D14" s="10">
        <v>2.8382799E7</v>
      </c>
      <c r="E14" s="16">
        <v>3.0</v>
      </c>
      <c r="F14" s="11">
        <v>3.0</v>
      </c>
      <c r="G14" s="12">
        <f t="shared" si="1"/>
        <v>0</v>
      </c>
      <c r="H14" s="13">
        <v>46034.0</v>
      </c>
      <c r="I14" s="14" t="s">
        <v>14</v>
      </c>
      <c r="J14" s="13">
        <v>46035.0</v>
      </c>
      <c r="K14" s="7" t="s">
        <v>16</v>
      </c>
      <c r="L14" s="17"/>
    </row>
    <row r="15">
      <c r="A15" s="7">
        <v>13.0</v>
      </c>
      <c r="B15" s="8">
        <v>9.08421025E8</v>
      </c>
      <c r="C15" s="9" t="s">
        <v>112</v>
      </c>
      <c r="D15" s="10">
        <v>2.8382799E7</v>
      </c>
      <c r="E15" s="16">
        <v>3.0</v>
      </c>
      <c r="F15" s="11">
        <v>3.0</v>
      </c>
      <c r="G15" s="12">
        <f t="shared" si="1"/>
        <v>0</v>
      </c>
      <c r="H15" s="13">
        <v>46034.0</v>
      </c>
      <c r="I15" s="14" t="s">
        <v>14</v>
      </c>
      <c r="J15" s="13">
        <v>46035.0</v>
      </c>
      <c r="K15" s="7" t="s">
        <v>16</v>
      </c>
      <c r="L15" s="17"/>
    </row>
    <row r="16">
      <c r="A16" s="7">
        <v>14.0</v>
      </c>
      <c r="B16" s="8">
        <v>9.08371013E8</v>
      </c>
      <c r="C16" s="9" t="s">
        <v>121</v>
      </c>
      <c r="D16" s="10">
        <v>2.8382799E7</v>
      </c>
      <c r="E16" s="16">
        <v>3.0</v>
      </c>
      <c r="F16" s="11">
        <v>3.0</v>
      </c>
      <c r="G16" s="12">
        <f t="shared" si="1"/>
        <v>0</v>
      </c>
      <c r="H16" s="13">
        <v>46034.0</v>
      </c>
      <c r="I16" s="14" t="s">
        <v>14</v>
      </c>
      <c r="J16" s="13">
        <v>46035.0</v>
      </c>
      <c r="K16" s="7" t="s">
        <v>16</v>
      </c>
      <c r="L16" s="17"/>
    </row>
    <row r="17">
      <c r="A17" s="7">
        <v>15.0</v>
      </c>
      <c r="B17" s="20">
        <v>9.08202189E8</v>
      </c>
      <c r="C17" s="20" t="s">
        <v>55</v>
      </c>
      <c r="D17" s="10">
        <v>2.8382799E7</v>
      </c>
      <c r="E17" s="16">
        <v>3.0</v>
      </c>
      <c r="F17" s="11">
        <v>3.0</v>
      </c>
      <c r="G17" s="12">
        <f t="shared" si="1"/>
        <v>0</v>
      </c>
      <c r="H17" s="13">
        <v>46036.0</v>
      </c>
      <c r="I17" s="14" t="s">
        <v>14</v>
      </c>
      <c r="J17" s="13">
        <v>46035.0</v>
      </c>
      <c r="K17" s="7" t="s">
        <v>16</v>
      </c>
      <c r="L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53.71"/>
    <col customWidth="1" min="13" max="26" width="8.71"/>
  </cols>
  <sheetData>
    <row r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9.08202098E8</v>
      </c>
      <c r="C3" s="9" t="s">
        <v>22</v>
      </c>
      <c r="D3" s="39" t="s">
        <v>213</v>
      </c>
      <c r="E3" s="16">
        <v>2.0</v>
      </c>
      <c r="F3" s="11">
        <v>2.0</v>
      </c>
      <c r="G3" s="12">
        <f t="shared" ref="G3:G21" si="1">E3-F3</f>
        <v>0</v>
      </c>
      <c r="H3" s="13" t="s">
        <v>214</v>
      </c>
      <c r="I3" s="14" t="s">
        <v>14</v>
      </c>
      <c r="J3" s="13">
        <v>45991.0</v>
      </c>
      <c r="K3" s="7" t="s">
        <v>16</v>
      </c>
      <c r="L3" s="17"/>
    </row>
    <row r="4">
      <c r="A4" s="7">
        <v>2.0</v>
      </c>
      <c r="B4" s="19">
        <v>9.08020201E8</v>
      </c>
      <c r="C4" s="20" t="s">
        <v>13</v>
      </c>
      <c r="D4" s="10">
        <v>2.8067486E7</v>
      </c>
      <c r="E4" s="16">
        <f>1+3</f>
        <v>4</v>
      </c>
      <c r="F4" s="11"/>
      <c r="G4" s="12">
        <f t="shared" si="1"/>
        <v>4</v>
      </c>
      <c r="H4" s="13">
        <v>45985.0</v>
      </c>
      <c r="I4" s="14" t="s">
        <v>14</v>
      </c>
      <c r="J4" s="13"/>
      <c r="K4" s="7"/>
      <c r="L4" s="17"/>
    </row>
    <row r="5">
      <c r="A5" s="7">
        <v>3.0</v>
      </c>
      <c r="B5" s="19" t="s">
        <v>103</v>
      </c>
      <c r="C5" s="20" t="s">
        <v>104</v>
      </c>
      <c r="D5" s="10">
        <v>2.8067486E7</v>
      </c>
      <c r="E5" s="16">
        <v>1.0</v>
      </c>
      <c r="F5" s="11">
        <v>1.0</v>
      </c>
      <c r="G5" s="12">
        <f t="shared" si="1"/>
        <v>0</v>
      </c>
      <c r="H5" s="13">
        <v>45985.0</v>
      </c>
      <c r="I5" s="14" t="s">
        <v>14</v>
      </c>
      <c r="J5" s="13">
        <v>45991.0</v>
      </c>
      <c r="K5" s="7" t="s">
        <v>16</v>
      </c>
      <c r="L5" s="17"/>
    </row>
    <row r="6">
      <c r="A6" s="7">
        <v>4.0</v>
      </c>
      <c r="B6" s="19" t="s">
        <v>25</v>
      </c>
      <c r="C6" s="20" t="s">
        <v>26</v>
      </c>
      <c r="D6" s="10">
        <v>2.8067486E7</v>
      </c>
      <c r="E6" s="16">
        <v>17.0</v>
      </c>
      <c r="F6" s="11">
        <f>17+6</f>
        <v>23</v>
      </c>
      <c r="G6" s="12">
        <f t="shared" si="1"/>
        <v>-6</v>
      </c>
      <c r="H6" s="13"/>
      <c r="I6" s="14"/>
      <c r="J6" s="13" t="s">
        <v>215</v>
      </c>
      <c r="K6" s="7" t="s">
        <v>16</v>
      </c>
      <c r="L6" s="17"/>
    </row>
    <row r="7">
      <c r="A7" s="7">
        <v>5.0</v>
      </c>
      <c r="B7" s="19" t="s">
        <v>27</v>
      </c>
      <c r="C7" s="20" t="s">
        <v>28</v>
      </c>
      <c r="D7" s="10">
        <v>2.8067486E7</v>
      </c>
      <c r="E7" s="16">
        <v>95.0</v>
      </c>
      <c r="F7" s="11">
        <v>90.0</v>
      </c>
      <c r="G7" s="12">
        <f t="shared" si="1"/>
        <v>5</v>
      </c>
      <c r="H7" s="13"/>
      <c r="I7" s="14"/>
      <c r="J7" s="13">
        <v>45991.0</v>
      </c>
      <c r="K7" s="7" t="s">
        <v>16</v>
      </c>
      <c r="L7" s="17"/>
    </row>
    <row r="8">
      <c r="A8" s="7">
        <v>6.0</v>
      </c>
      <c r="B8" s="19">
        <v>9.08121008E8</v>
      </c>
      <c r="C8" s="20" t="s">
        <v>17</v>
      </c>
      <c r="D8" s="10">
        <v>2.8067486E7</v>
      </c>
      <c r="E8" s="16">
        <v>3.0</v>
      </c>
      <c r="F8" s="11">
        <f>2+1</f>
        <v>3</v>
      </c>
      <c r="G8" s="12">
        <f t="shared" si="1"/>
        <v>0</v>
      </c>
      <c r="H8" s="13">
        <v>46002.0</v>
      </c>
      <c r="I8" s="14" t="s">
        <v>14</v>
      </c>
      <c r="J8" s="13" t="s">
        <v>215</v>
      </c>
      <c r="K8" s="7" t="s">
        <v>16</v>
      </c>
      <c r="L8" s="17"/>
    </row>
    <row r="9">
      <c r="A9" s="7">
        <v>7.0</v>
      </c>
      <c r="B9" s="19">
        <v>9.0812101E8</v>
      </c>
      <c r="C9" s="20" t="s">
        <v>18</v>
      </c>
      <c r="D9" s="10">
        <v>2.8067486E7</v>
      </c>
      <c r="E9" s="16">
        <v>2.0</v>
      </c>
      <c r="F9" s="11">
        <v>2.0</v>
      </c>
      <c r="G9" s="12">
        <f t="shared" si="1"/>
        <v>0</v>
      </c>
      <c r="H9" s="13">
        <v>46002.0</v>
      </c>
      <c r="I9" s="14" t="s">
        <v>14</v>
      </c>
      <c r="J9" s="13">
        <v>45991.0</v>
      </c>
      <c r="K9" s="7" t="s">
        <v>16</v>
      </c>
      <c r="L9" s="17"/>
    </row>
    <row r="10">
      <c r="A10" s="7">
        <v>8.0</v>
      </c>
      <c r="B10" s="19" t="s">
        <v>20</v>
      </c>
      <c r="C10" s="20" t="s">
        <v>21</v>
      </c>
      <c r="D10" s="10">
        <v>2.8067486E7</v>
      </c>
      <c r="E10" s="16">
        <v>2.0</v>
      </c>
      <c r="F10" s="11">
        <v>6.0</v>
      </c>
      <c r="G10" s="12">
        <f t="shared" si="1"/>
        <v>-4</v>
      </c>
      <c r="H10" s="13">
        <v>46002.0</v>
      </c>
      <c r="I10" s="14" t="s">
        <v>14</v>
      </c>
      <c r="J10" s="13">
        <v>45991.0</v>
      </c>
      <c r="K10" s="7" t="s">
        <v>16</v>
      </c>
      <c r="L10" s="17"/>
    </row>
    <row r="11">
      <c r="A11" s="7">
        <v>9.0</v>
      </c>
      <c r="B11" s="19">
        <v>9.08122011E8</v>
      </c>
      <c r="C11" s="20" t="s">
        <v>23</v>
      </c>
      <c r="D11" s="10">
        <v>2.8067486E7</v>
      </c>
      <c r="E11" s="16">
        <v>3.0</v>
      </c>
      <c r="F11" s="11">
        <v>3.0</v>
      </c>
      <c r="G11" s="12">
        <f t="shared" si="1"/>
        <v>0</v>
      </c>
      <c r="H11" s="13">
        <v>46002.0</v>
      </c>
      <c r="I11" s="14" t="s">
        <v>14</v>
      </c>
      <c r="J11" s="13">
        <v>45991.0</v>
      </c>
      <c r="K11" s="7" t="s">
        <v>16</v>
      </c>
      <c r="L11" s="17"/>
    </row>
    <row r="12">
      <c r="A12" s="7">
        <v>10.0</v>
      </c>
      <c r="B12" s="19">
        <v>9.08111101E8</v>
      </c>
      <c r="C12" s="20" t="s">
        <v>24</v>
      </c>
      <c r="D12" s="39" t="s">
        <v>213</v>
      </c>
      <c r="E12" s="16">
        <f>8+4</f>
        <v>12</v>
      </c>
      <c r="F12" s="11">
        <f>6+6</f>
        <v>12</v>
      </c>
      <c r="G12" s="12">
        <f t="shared" si="1"/>
        <v>0</v>
      </c>
      <c r="H12" s="13" t="s">
        <v>216</v>
      </c>
      <c r="I12" s="14" t="s">
        <v>14</v>
      </c>
      <c r="J12" s="13" t="s">
        <v>217</v>
      </c>
      <c r="K12" s="7" t="s">
        <v>16</v>
      </c>
      <c r="L12" s="17"/>
    </row>
    <row r="13">
      <c r="A13" s="7">
        <v>11.0</v>
      </c>
      <c r="B13" s="19">
        <v>9.0820203E8</v>
      </c>
      <c r="C13" s="20" t="s">
        <v>19</v>
      </c>
      <c r="D13" s="10">
        <v>2.8067486E7</v>
      </c>
      <c r="E13" s="16"/>
      <c r="F13" s="11">
        <v>2.0</v>
      </c>
      <c r="G13" s="12">
        <f t="shared" si="1"/>
        <v>-2</v>
      </c>
      <c r="H13" s="13"/>
      <c r="I13" s="14"/>
      <c r="J13" s="13">
        <v>45991.0</v>
      </c>
      <c r="K13" s="7" t="s">
        <v>16</v>
      </c>
      <c r="L13" s="17"/>
    </row>
    <row r="14">
      <c r="A14" s="7">
        <v>12.0</v>
      </c>
      <c r="B14" s="19">
        <v>9.08371012E8</v>
      </c>
      <c r="C14" s="20" t="s">
        <v>150</v>
      </c>
      <c r="D14" s="10">
        <v>2.833538E7</v>
      </c>
      <c r="E14" s="16">
        <v>3.0</v>
      </c>
      <c r="F14" s="11">
        <v>3.0</v>
      </c>
      <c r="G14" s="12">
        <f t="shared" si="1"/>
        <v>0</v>
      </c>
      <c r="H14" s="13">
        <v>46026.0</v>
      </c>
      <c r="I14" s="14" t="s">
        <v>30</v>
      </c>
      <c r="J14" s="13">
        <v>46030.0</v>
      </c>
      <c r="K14" s="7" t="s">
        <v>16</v>
      </c>
      <c r="L14" s="17"/>
    </row>
    <row r="15">
      <c r="A15" s="7">
        <v>13.0</v>
      </c>
      <c r="B15" s="19">
        <v>9.08371013E8</v>
      </c>
      <c r="C15" s="20" t="s">
        <v>121</v>
      </c>
      <c r="D15" s="10">
        <v>2.833538E7</v>
      </c>
      <c r="E15" s="16">
        <v>1.0</v>
      </c>
      <c r="F15" s="11">
        <v>1.0</v>
      </c>
      <c r="G15" s="12">
        <f t="shared" si="1"/>
        <v>0</v>
      </c>
      <c r="H15" s="13">
        <v>46026.0</v>
      </c>
      <c r="I15" s="14" t="s">
        <v>30</v>
      </c>
      <c r="J15" s="13">
        <v>46030.0</v>
      </c>
      <c r="K15" s="7" t="s">
        <v>16</v>
      </c>
      <c r="L15" s="52"/>
    </row>
    <row r="16">
      <c r="A16" s="7">
        <v>14.0</v>
      </c>
      <c r="B16" s="19">
        <v>9.08402208E8</v>
      </c>
      <c r="C16" s="20" t="s">
        <v>111</v>
      </c>
      <c r="D16" s="10">
        <v>2.833538E7</v>
      </c>
      <c r="E16" s="16">
        <v>5.0</v>
      </c>
      <c r="F16" s="11">
        <v>5.0</v>
      </c>
      <c r="G16" s="12">
        <f t="shared" si="1"/>
        <v>0</v>
      </c>
      <c r="H16" s="13">
        <v>46026.0</v>
      </c>
      <c r="I16" s="14" t="s">
        <v>30</v>
      </c>
      <c r="J16" s="13">
        <v>46030.0</v>
      </c>
      <c r="K16" s="7" t="s">
        <v>16</v>
      </c>
      <c r="L16" s="52"/>
    </row>
    <row r="17">
      <c r="A17" s="7">
        <v>15.0</v>
      </c>
      <c r="B17" s="19">
        <v>9.08421025E8</v>
      </c>
      <c r="C17" s="20" t="s">
        <v>112</v>
      </c>
      <c r="D17" s="10">
        <v>2.833538E7</v>
      </c>
      <c r="E17" s="16">
        <v>1.0</v>
      </c>
      <c r="F17" s="11">
        <v>1.0</v>
      </c>
      <c r="G17" s="12">
        <f t="shared" si="1"/>
        <v>0</v>
      </c>
      <c r="H17" s="13">
        <v>46026.0</v>
      </c>
      <c r="I17" s="14" t="s">
        <v>30</v>
      </c>
      <c r="J17" s="13">
        <v>46030.0</v>
      </c>
      <c r="K17" s="7" t="s">
        <v>16</v>
      </c>
      <c r="L17" s="52"/>
    </row>
    <row r="18">
      <c r="A18" s="7">
        <v>16.0</v>
      </c>
      <c r="B18" s="19">
        <v>9.08421031E8</v>
      </c>
      <c r="C18" s="20" t="s">
        <v>122</v>
      </c>
      <c r="D18" s="10">
        <v>2.833538E7</v>
      </c>
      <c r="E18" s="16">
        <v>2.0</v>
      </c>
      <c r="F18" s="11">
        <v>2.0</v>
      </c>
      <c r="G18" s="12">
        <f t="shared" si="1"/>
        <v>0</v>
      </c>
      <c r="H18" s="13">
        <v>46026.0</v>
      </c>
      <c r="I18" s="14" t="s">
        <v>30</v>
      </c>
      <c r="J18" s="13">
        <v>46030.0</v>
      </c>
      <c r="K18" s="7" t="s">
        <v>16</v>
      </c>
      <c r="L18" s="52"/>
    </row>
    <row r="19">
      <c r="A19" s="7">
        <v>17.0</v>
      </c>
      <c r="B19" s="19" t="s">
        <v>20</v>
      </c>
      <c r="C19" s="20" t="s">
        <v>21</v>
      </c>
      <c r="D19" s="10">
        <v>2.833538E7</v>
      </c>
      <c r="E19" s="16">
        <f>1+1</f>
        <v>2</v>
      </c>
      <c r="F19" s="11">
        <v>3.0</v>
      </c>
      <c r="G19" s="12">
        <f t="shared" si="1"/>
        <v>-1</v>
      </c>
      <c r="H19" s="13" t="s">
        <v>218</v>
      </c>
      <c r="I19" s="14" t="s">
        <v>30</v>
      </c>
      <c r="J19" s="13">
        <v>46030.0</v>
      </c>
      <c r="K19" s="7" t="s">
        <v>16</v>
      </c>
      <c r="L19" s="53"/>
    </row>
    <row r="20">
      <c r="A20" s="7">
        <v>18.0</v>
      </c>
      <c r="B20" s="19">
        <v>9.08202189E8</v>
      </c>
      <c r="C20" s="20" t="s">
        <v>55</v>
      </c>
      <c r="D20" s="10">
        <v>2.833538E7</v>
      </c>
      <c r="E20" s="16">
        <v>2.0</v>
      </c>
      <c r="F20" s="11">
        <v>3.0</v>
      </c>
      <c r="G20" s="12">
        <f t="shared" si="1"/>
        <v>-1</v>
      </c>
      <c r="H20" s="13">
        <v>46027.0</v>
      </c>
      <c r="I20" s="14" t="s">
        <v>30</v>
      </c>
      <c r="J20" s="13">
        <v>46030.0</v>
      </c>
      <c r="K20" s="7" t="s">
        <v>16</v>
      </c>
      <c r="L20" s="53"/>
    </row>
    <row r="21" ht="15.75" customHeight="1">
      <c r="A21" s="7">
        <v>19.0</v>
      </c>
      <c r="B21" s="19">
        <v>9.08371003E8</v>
      </c>
      <c r="C21" s="20" t="s">
        <v>219</v>
      </c>
      <c r="D21" s="10">
        <v>2.833538E7</v>
      </c>
      <c r="E21" s="16">
        <v>1.0</v>
      </c>
      <c r="F21" s="11">
        <v>1.0</v>
      </c>
      <c r="G21" s="12">
        <f t="shared" si="1"/>
        <v>0</v>
      </c>
      <c r="H21" s="13">
        <v>46026.0</v>
      </c>
      <c r="I21" s="14" t="s">
        <v>30</v>
      </c>
      <c r="J21" s="13">
        <v>46030.0</v>
      </c>
      <c r="K21" s="7" t="s">
        <v>16</v>
      </c>
      <c r="L21" s="17"/>
    </row>
    <row r="22" ht="15.75" customHeight="1">
      <c r="A22" s="7"/>
      <c r="B22" s="19"/>
      <c r="C22" s="20"/>
      <c r="D22" s="10"/>
      <c r="E22" s="16"/>
      <c r="F22" s="11"/>
      <c r="G22" s="12"/>
      <c r="H22" s="13"/>
      <c r="I22" s="14"/>
      <c r="J22" s="13"/>
      <c r="K22" s="7"/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9.08202098E8</v>
      </c>
      <c r="C3" s="9" t="s">
        <v>22</v>
      </c>
      <c r="D3" s="10">
        <v>2.8072878E7</v>
      </c>
      <c r="E3" s="16">
        <v>2.0</v>
      </c>
      <c r="F3" s="11">
        <v>2.0</v>
      </c>
      <c r="G3" s="12">
        <f t="shared" ref="G3:G13" si="1">E3-F3</f>
        <v>0</v>
      </c>
      <c r="H3" s="13">
        <v>45980.0</v>
      </c>
      <c r="I3" s="14" t="s">
        <v>14</v>
      </c>
      <c r="J3" s="13">
        <v>45985.0</v>
      </c>
      <c r="K3" s="7" t="s">
        <v>16</v>
      </c>
      <c r="L3" s="17"/>
    </row>
    <row r="4">
      <c r="A4" s="7">
        <v>2.0</v>
      </c>
      <c r="B4" s="19">
        <v>9.08020201E8</v>
      </c>
      <c r="C4" s="20" t="s">
        <v>13</v>
      </c>
      <c r="D4" s="10">
        <v>2.8072878E7</v>
      </c>
      <c r="E4" s="16">
        <v>1.0</v>
      </c>
      <c r="F4" s="11"/>
      <c r="G4" s="12">
        <f t="shared" si="1"/>
        <v>1</v>
      </c>
      <c r="H4" s="13">
        <v>45980.0</v>
      </c>
      <c r="I4" s="14" t="s">
        <v>14</v>
      </c>
      <c r="J4" s="13"/>
      <c r="K4" s="7"/>
      <c r="L4" s="17"/>
    </row>
    <row r="5">
      <c r="A5" s="7">
        <v>3.0</v>
      </c>
      <c r="B5" s="19" t="s">
        <v>103</v>
      </c>
      <c r="C5" s="20" t="s">
        <v>104</v>
      </c>
      <c r="D5" s="10">
        <v>2.8072878E7</v>
      </c>
      <c r="E5" s="16">
        <v>1.0</v>
      </c>
      <c r="F5" s="11">
        <v>1.0</v>
      </c>
      <c r="G5" s="12">
        <f t="shared" si="1"/>
        <v>0</v>
      </c>
      <c r="H5" s="13">
        <v>45980.0</v>
      </c>
      <c r="I5" s="14" t="s">
        <v>14</v>
      </c>
      <c r="J5" s="13">
        <v>45985.0</v>
      </c>
      <c r="K5" s="7" t="s">
        <v>16</v>
      </c>
      <c r="L5" s="17"/>
    </row>
    <row r="6">
      <c r="A6" s="7">
        <v>4.0</v>
      </c>
      <c r="B6" s="19">
        <v>9.08121008E8</v>
      </c>
      <c r="C6" s="20" t="s">
        <v>17</v>
      </c>
      <c r="D6" s="10">
        <v>2.8072878E7</v>
      </c>
      <c r="E6" s="16">
        <v>2.0</v>
      </c>
      <c r="F6" s="11">
        <v>2.0</v>
      </c>
      <c r="G6" s="12">
        <f t="shared" si="1"/>
        <v>0</v>
      </c>
      <c r="H6" s="13">
        <v>46002.0</v>
      </c>
      <c r="I6" s="14" t="s">
        <v>14</v>
      </c>
      <c r="J6" s="13">
        <v>45985.0</v>
      </c>
      <c r="K6" s="7" t="s">
        <v>16</v>
      </c>
      <c r="L6" s="17"/>
    </row>
    <row r="7">
      <c r="A7" s="7">
        <v>5.0</v>
      </c>
      <c r="B7" s="19">
        <v>9.0812101E8</v>
      </c>
      <c r="C7" s="20" t="s">
        <v>18</v>
      </c>
      <c r="D7" s="10">
        <v>2.8072878E7</v>
      </c>
      <c r="E7" s="16">
        <v>2.0</v>
      </c>
      <c r="F7" s="11">
        <f>1+1</f>
        <v>2</v>
      </c>
      <c r="G7" s="12">
        <f t="shared" si="1"/>
        <v>0</v>
      </c>
      <c r="H7" s="13">
        <v>46002.0</v>
      </c>
      <c r="I7" s="14" t="s">
        <v>14</v>
      </c>
      <c r="J7" s="13" t="s">
        <v>221</v>
      </c>
      <c r="K7" s="7" t="s">
        <v>16</v>
      </c>
      <c r="L7" s="17"/>
    </row>
    <row r="8">
      <c r="A8" s="7">
        <v>6.0</v>
      </c>
      <c r="B8" s="19" t="s">
        <v>20</v>
      </c>
      <c r="C8" s="20" t="s">
        <v>21</v>
      </c>
      <c r="D8" s="10">
        <v>2.8072878E7</v>
      </c>
      <c r="E8" s="16">
        <v>2.0</v>
      </c>
      <c r="F8" s="11">
        <v>2.0</v>
      </c>
      <c r="G8" s="12">
        <f t="shared" si="1"/>
        <v>0</v>
      </c>
      <c r="H8" s="13">
        <v>46002.0</v>
      </c>
      <c r="I8" s="14" t="s">
        <v>14</v>
      </c>
      <c r="J8" s="13">
        <v>45985.0</v>
      </c>
      <c r="K8" s="7" t="s">
        <v>16</v>
      </c>
      <c r="L8" s="17"/>
    </row>
    <row r="9">
      <c r="A9" s="7">
        <v>7.0</v>
      </c>
      <c r="B9" s="19" t="s">
        <v>25</v>
      </c>
      <c r="C9" s="20" t="s">
        <v>26</v>
      </c>
      <c r="D9" s="10"/>
      <c r="E9" s="16"/>
      <c r="F9" s="11">
        <v>27.0</v>
      </c>
      <c r="G9" s="12">
        <f t="shared" si="1"/>
        <v>-27</v>
      </c>
      <c r="H9" s="13"/>
      <c r="I9" s="14"/>
      <c r="J9" s="13">
        <v>45985.0</v>
      </c>
      <c r="K9" s="7" t="s">
        <v>16</v>
      </c>
      <c r="L9" s="17"/>
    </row>
    <row r="10">
      <c r="A10" s="7">
        <v>8.0</v>
      </c>
      <c r="B10" s="19" t="s">
        <v>27</v>
      </c>
      <c r="C10" s="20" t="s">
        <v>28</v>
      </c>
      <c r="D10" s="10"/>
      <c r="E10" s="16"/>
      <c r="F10" s="11">
        <v>6.0</v>
      </c>
      <c r="G10" s="12">
        <f t="shared" si="1"/>
        <v>-6</v>
      </c>
      <c r="H10" s="13"/>
      <c r="I10" s="14"/>
      <c r="J10" s="13">
        <v>45985.0</v>
      </c>
      <c r="K10" s="7" t="s">
        <v>16</v>
      </c>
      <c r="L10" s="17"/>
    </row>
    <row r="11">
      <c r="A11" s="7">
        <v>9.0</v>
      </c>
      <c r="B11" s="19">
        <v>9.08111101E8</v>
      </c>
      <c r="C11" s="20" t="s">
        <v>24</v>
      </c>
      <c r="D11" s="10">
        <v>2.8072878E7</v>
      </c>
      <c r="E11" s="16">
        <v>6.0</v>
      </c>
      <c r="F11" s="11">
        <v>6.0</v>
      </c>
      <c r="G11" s="12">
        <f t="shared" si="1"/>
        <v>0</v>
      </c>
      <c r="H11" s="13">
        <v>46002.0</v>
      </c>
      <c r="I11" s="14" t="s">
        <v>14</v>
      </c>
      <c r="J11" s="13">
        <v>45985.0</v>
      </c>
      <c r="K11" s="7" t="s">
        <v>16</v>
      </c>
      <c r="L11" s="17"/>
    </row>
    <row r="12">
      <c r="A12" s="7">
        <v>10.0</v>
      </c>
      <c r="B12" s="19">
        <v>9.0820203E8</v>
      </c>
      <c r="C12" s="20" t="s">
        <v>19</v>
      </c>
      <c r="D12" s="10">
        <v>2.8072878E7</v>
      </c>
      <c r="E12" s="16">
        <v>2.0</v>
      </c>
      <c r="F12" s="11">
        <v>2.0</v>
      </c>
      <c r="G12" s="12">
        <f t="shared" si="1"/>
        <v>0</v>
      </c>
      <c r="H12" s="13">
        <v>46002.0</v>
      </c>
      <c r="I12" s="14" t="s">
        <v>14</v>
      </c>
      <c r="J12" s="13">
        <v>45985.0</v>
      </c>
      <c r="K12" s="7" t="s">
        <v>16</v>
      </c>
      <c r="L12" s="17"/>
    </row>
    <row r="13">
      <c r="A13" s="7">
        <v>11.0</v>
      </c>
      <c r="B13" s="19">
        <v>9.08122011E8</v>
      </c>
      <c r="C13" s="20" t="s">
        <v>23</v>
      </c>
      <c r="D13" s="10">
        <v>2.8072878E7</v>
      </c>
      <c r="E13" s="16">
        <v>3.0</v>
      </c>
      <c r="F13" s="11">
        <v>3.0</v>
      </c>
      <c r="G13" s="12">
        <f t="shared" si="1"/>
        <v>0</v>
      </c>
      <c r="H13" s="13">
        <v>46002.0</v>
      </c>
      <c r="I13" s="14" t="s">
        <v>14</v>
      </c>
      <c r="J13" s="13">
        <v>45988.0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2.807254E7</v>
      </c>
      <c r="E3" s="16">
        <v>2.0</v>
      </c>
      <c r="F3" s="11">
        <v>2.0</v>
      </c>
      <c r="G3" s="12">
        <f t="shared" ref="G3:G13" si="1">E3-F3</f>
        <v>0</v>
      </c>
      <c r="H3" s="13">
        <v>46002.0</v>
      </c>
      <c r="I3" s="14" t="s">
        <v>14</v>
      </c>
      <c r="J3" s="13">
        <v>45980.0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2.807254E7</v>
      </c>
      <c r="E4" s="16">
        <v>2.0</v>
      </c>
      <c r="F4" s="11">
        <f>1+1</f>
        <v>2</v>
      </c>
      <c r="G4" s="12">
        <f t="shared" si="1"/>
        <v>0</v>
      </c>
      <c r="H4" s="13">
        <v>46002.0</v>
      </c>
      <c r="I4" s="14" t="s">
        <v>14</v>
      </c>
      <c r="J4" s="13" t="s">
        <v>223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2.807254E7</v>
      </c>
      <c r="E5" s="16">
        <v>3.0</v>
      </c>
      <c r="F5" s="11">
        <v>3.0</v>
      </c>
      <c r="G5" s="12">
        <f t="shared" si="1"/>
        <v>0</v>
      </c>
      <c r="H5" s="13">
        <v>46002.0</v>
      </c>
      <c r="I5" s="14" t="s">
        <v>14</v>
      </c>
      <c r="J5" s="13">
        <v>45988.0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2.807254E7</v>
      </c>
      <c r="E6" s="16">
        <v>2.0</v>
      </c>
      <c r="F6" s="11">
        <v>2.0</v>
      </c>
      <c r="G6" s="12">
        <f t="shared" si="1"/>
        <v>0</v>
      </c>
      <c r="H6" s="13">
        <v>46002.0</v>
      </c>
      <c r="I6" s="14" t="s">
        <v>14</v>
      </c>
      <c r="J6" s="13">
        <v>45980.0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2.807254E7</v>
      </c>
      <c r="E7" s="16">
        <v>2.0</v>
      </c>
      <c r="F7" s="11">
        <v>2.0</v>
      </c>
      <c r="G7" s="12">
        <f t="shared" si="1"/>
        <v>0</v>
      </c>
      <c r="H7" s="13">
        <v>46002.0</v>
      </c>
      <c r="I7" s="14" t="s">
        <v>14</v>
      </c>
      <c r="J7" s="13">
        <v>45980.0</v>
      </c>
      <c r="K7" s="7" t="s">
        <v>16</v>
      </c>
      <c r="L7" s="17"/>
    </row>
    <row r="8">
      <c r="A8" s="7">
        <v>6.0</v>
      </c>
      <c r="B8" s="8">
        <v>9.08202098E8</v>
      </c>
      <c r="C8" s="9" t="s">
        <v>22</v>
      </c>
      <c r="D8" s="10">
        <v>2.807254E7</v>
      </c>
      <c r="E8" s="16">
        <v>2.0</v>
      </c>
      <c r="F8" s="11">
        <v>2.0</v>
      </c>
      <c r="G8" s="12">
        <f t="shared" si="1"/>
        <v>0</v>
      </c>
      <c r="H8" s="13">
        <v>45980.0</v>
      </c>
      <c r="I8" s="14" t="s">
        <v>14</v>
      </c>
      <c r="J8" s="13">
        <v>45980.0</v>
      </c>
      <c r="K8" s="7" t="s">
        <v>16</v>
      </c>
      <c r="L8" s="17"/>
    </row>
    <row r="9">
      <c r="A9" s="7">
        <v>7.0</v>
      </c>
      <c r="B9" s="19">
        <v>9.08020201E8</v>
      </c>
      <c r="C9" s="20" t="s">
        <v>13</v>
      </c>
      <c r="D9" s="10">
        <v>2.807254E7</v>
      </c>
      <c r="E9" s="16">
        <v>1.0</v>
      </c>
      <c r="F9" s="11"/>
      <c r="G9" s="12">
        <f t="shared" si="1"/>
        <v>1</v>
      </c>
      <c r="H9" s="13">
        <v>45980.0</v>
      </c>
      <c r="I9" s="14" t="s">
        <v>14</v>
      </c>
      <c r="J9" s="13"/>
      <c r="K9" s="7"/>
      <c r="L9" s="17"/>
    </row>
    <row r="10">
      <c r="A10" s="7">
        <v>8.0</v>
      </c>
      <c r="B10" s="19" t="s">
        <v>103</v>
      </c>
      <c r="C10" s="20" t="s">
        <v>104</v>
      </c>
      <c r="D10" s="10">
        <v>2.807254E7</v>
      </c>
      <c r="E10" s="16">
        <v>1.0</v>
      </c>
      <c r="F10" s="11">
        <v>6.0</v>
      </c>
      <c r="G10" s="12">
        <f t="shared" si="1"/>
        <v>-5</v>
      </c>
      <c r="H10" s="13">
        <v>45980.0</v>
      </c>
      <c r="I10" s="14" t="s">
        <v>14</v>
      </c>
      <c r="J10" s="13">
        <v>45980.0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/>
      <c r="E11" s="16"/>
      <c r="F11" s="11">
        <v>24.0</v>
      </c>
      <c r="G11" s="12">
        <f t="shared" si="1"/>
        <v>-24</v>
      </c>
      <c r="H11" s="13"/>
      <c r="I11" s="14" t="s">
        <v>14</v>
      </c>
      <c r="J11" s="13">
        <v>45980.0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/>
      <c r="E12" s="16"/>
      <c r="F12" s="11">
        <v>32.0</v>
      </c>
      <c r="G12" s="12">
        <f t="shared" si="1"/>
        <v>-32</v>
      </c>
      <c r="H12" s="13"/>
      <c r="I12" s="14" t="s">
        <v>14</v>
      </c>
      <c r="J12" s="13">
        <v>45980.0</v>
      </c>
      <c r="K12" s="7" t="s">
        <v>16</v>
      </c>
      <c r="L12" s="17"/>
    </row>
    <row r="13">
      <c r="A13" s="7">
        <v>11.0</v>
      </c>
      <c r="B13" s="8">
        <v>9.08111101E8</v>
      </c>
      <c r="C13" s="9" t="s">
        <v>24</v>
      </c>
      <c r="D13" s="10"/>
      <c r="E13" s="16"/>
      <c r="F13" s="11">
        <v>6.0</v>
      </c>
      <c r="G13" s="12">
        <f t="shared" si="1"/>
        <v>-6</v>
      </c>
      <c r="H13" s="13"/>
      <c r="I13" s="14" t="s">
        <v>14</v>
      </c>
      <c r="J13" s="13">
        <v>45980.0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2.8046931E7</v>
      </c>
      <c r="E3" s="16">
        <v>3.0</v>
      </c>
      <c r="F3" s="11">
        <v>3.0</v>
      </c>
      <c r="G3" s="12">
        <f t="shared" ref="G3:G13" si="1">E3-F3</f>
        <v>0</v>
      </c>
      <c r="H3" s="13">
        <v>45973.0</v>
      </c>
      <c r="I3" s="14" t="s">
        <v>14</v>
      </c>
      <c r="J3" s="13">
        <v>45992.0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2.8046931E7</v>
      </c>
      <c r="E4" s="16">
        <v>2.0</v>
      </c>
      <c r="F4" s="11">
        <f>1+1</f>
        <v>2</v>
      </c>
      <c r="G4" s="12">
        <f t="shared" si="1"/>
        <v>0</v>
      </c>
      <c r="H4" s="13">
        <v>45973.0</v>
      </c>
      <c r="I4" s="14" t="s">
        <v>14</v>
      </c>
      <c r="J4" s="13" t="s">
        <v>225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2.8046931E7</v>
      </c>
      <c r="E5" s="16">
        <v>3.0</v>
      </c>
      <c r="F5" s="11">
        <v>3.0</v>
      </c>
      <c r="G5" s="12">
        <f t="shared" si="1"/>
        <v>0</v>
      </c>
      <c r="H5" s="13">
        <v>45973.0</v>
      </c>
      <c r="I5" s="14" t="s">
        <v>14</v>
      </c>
      <c r="J5" s="13">
        <v>45995.0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2.8046931E7</v>
      </c>
      <c r="E6" s="16">
        <v>2.0</v>
      </c>
      <c r="F6" s="11">
        <v>2.0</v>
      </c>
      <c r="G6" s="12">
        <f t="shared" si="1"/>
        <v>0</v>
      </c>
      <c r="H6" s="13">
        <v>45973.0</v>
      </c>
      <c r="I6" s="14" t="s">
        <v>14</v>
      </c>
      <c r="J6" s="13">
        <v>45992.0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2.8046931E7</v>
      </c>
      <c r="E7" s="16">
        <v>2.0</v>
      </c>
      <c r="F7" s="11">
        <v>2.0</v>
      </c>
      <c r="G7" s="12">
        <f t="shared" si="1"/>
        <v>0</v>
      </c>
      <c r="H7" s="13">
        <v>45973.0</v>
      </c>
      <c r="I7" s="14" t="s">
        <v>14</v>
      </c>
      <c r="J7" s="13">
        <v>45992.0</v>
      </c>
      <c r="K7" s="7" t="s">
        <v>16</v>
      </c>
      <c r="L7" s="17"/>
    </row>
    <row r="8">
      <c r="A8" s="7">
        <v>6.0</v>
      </c>
      <c r="B8" s="8">
        <v>9.08202098E8</v>
      </c>
      <c r="C8" s="9" t="s">
        <v>22</v>
      </c>
      <c r="D8" s="10">
        <v>2.8046931E7</v>
      </c>
      <c r="E8" s="16">
        <v>2.0</v>
      </c>
      <c r="F8" s="11">
        <v>2.0</v>
      </c>
      <c r="G8" s="12">
        <f t="shared" si="1"/>
        <v>0</v>
      </c>
      <c r="H8" s="13">
        <v>45973.0</v>
      </c>
      <c r="I8" s="14" t="s">
        <v>14</v>
      </c>
      <c r="J8" s="13">
        <v>45992.0</v>
      </c>
      <c r="K8" s="7" t="s">
        <v>16</v>
      </c>
      <c r="L8" s="17"/>
    </row>
    <row r="9">
      <c r="A9" s="7">
        <v>7.0</v>
      </c>
      <c r="B9" s="41" t="s">
        <v>226</v>
      </c>
      <c r="C9" s="23" t="s">
        <v>227</v>
      </c>
      <c r="D9" s="10">
        <v>2.8046931E7</v>
      </c>
      <c r="E9" s="16">
        <v>1.0</v>
      </c>
      <c r="F9" s="11">
        <v>1.0</v>
      </c>
      <c r="G9" s="12">
        <f t="shared" si="1"/>
        <v>0</v>
      </c>
      <c r="H9" s="13">
        <v>46002.0</v>
      </c>
      <c r="I9" s="14" t="s">
        <v>14</v>
      </c>
      <c r="J9" s="13">
        <v>45992.0</v>
      </c>
      <c r="K9" s="7" t="s">
        <v>16</v>
      </c>
      <c r="L9" s="54" t="s">
        <v>228</v>
      </c>
    </row>
    <row r="10">
      <c r="A10" s="7">
        <v>8.0</v>
      </c>
      <c r="B10" s="8" t="s">
        <v>25</v>
      </c>
      <c r="C10" s="9" t="s">
        <v>26</v>
      </c>
      <c r="D10" s="10">
        <v>2.8046931E7</v>
      </c>
      <c r="E10" s="16">
        <v>82.0</v>
      </c>
      <c r="F10" s="11">
        <v>6.0</v>
      </c>
      <c r="G10" s="12">
        <f t="shared" si="1"/>
        <v>76</v>
      </c>
      <c r="H10" s="13"/>
      <c r="I10" s="14"/>
      <c r="J10" s="13">
        <v>45992.0</v>
      </c>
      <c r="K10" s="7" t="s">
        <v>16</v>
      </c>
      <c r="L10" s="17"/>
    </row>
    <row r="11">
      <c r="A11" s="7">
        <v>9.0</v>
      </c>
      <c r="B11" s="8" t="s">
        <v>27</v>
      </c>
      <c r="C11" s="9" t="s">
        <v>28</v>
      </c>
      <c r="D11" s="10">
        <v>2.8046931E7</v>
      </c>
      <c r="E11" s="16">
        <v>132.0</v>
      </c>
      <c r="F11" s="11">
        <v>129.0</v>
      </c>
      <c r="G11" s="12">
        <f t="shared" si="1"/>
        <v>3</v>
      </c>
      <c r="H11" s="13">
        <v>46007.0</v>
      </c>
      <c r="I11" s="14" t="s">
        <v>14</v>
      </c>
      <c r="J11" s="13">
        <v>45992.0</v>
      </c>
      <c r="K11" s="7" t="s">
        <v>16</v>
      </c>
      <c r="L11" s="17"/>
    </row>
    <row r="12">
      <c r="A12" s="7">
        <v>10.0</v>
      </c>
      <c r="B12" s="19">
        <v>9.08020201E8</v>
      </c>
      <c r="C12" s="20" t="s">
        <v>13</v>
      </c>
      <c r="D12" s="10">
        <v>2.8046931E7</v>
      </c>
      <c r="E12" s="16">
        <v>1.0</v>
      </c>
      <c r="F12" s="11"/>
      <c r="G12" s="12">
        <f t="shared" si="1"/>
        <v>1</v>
      </c>
      <c r="H12" s="13">
        <v>45985.0</v>
      </c>
      <c r="I12" s="14" t="s">
        <v>14</v>
      </c>
      <c r="J12" s="13"/>
      <c r="K12" s="7"/>
      <c r="L12" s="17"/>
    </row>
    <row r="13">
      <c r="A13" s="7">
        <v>11.0</v>
      </c>
      <c r="B13" s="19">
        <v>9.08111101E8</v>
      </c>
      <c r="C13" s="20" t="s">
        <v>24</v>
      </c>
      <c r="D13" s="10"/>
      <c r="E13" s="16"/>
      <c r="F13" s="11">
        <v>6.0</v>
      </c>
      <c r="G13" s="12">
        <f t="shared" si="1"/>
        <v>-6</v>
      </c>
      <c r="H13" s="13"/>
      <c r="I13" s="14"/>
      <c r="J13" s="13">
        <v>45992.0</v>
      </c>
      <c r="K13" s="7" t="s">
        <v>16</v>
      </c>
      <c r="L13" s="17"/>
    </row>
    <row r="14">
      <c r="A14" s="7"/>
      <c r="B14" s="19"/>
      <c r="C14" s="20"/>
      <c r="D14" s="10"/>
      <c r="E14" s="16"/>
      <c r="F14" s="11"/>
      <c r="G14" s="12"/>
      <c r="H14" s="13"/>
      <c r="I14" s="14"/>
      <c r="J14" s="13"/>
      <c r="K14" s="7"/>
      <c r="L14" s="17"/>
    </row>
    <row r="21" ht="15.75" customHeight="1"/>
    <row r="22" ht="15.75" customHeight="1">
      <c r="K22" s="5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20">
        <v>9.08121008E8</v>
      </c>
      <c r="C3" s="9" t="s">
        <v>17</v>
      </c>
      <c r="D3" s="10">
        <v>2.8032978E7</v>
      </c>
      <c r="E3" s="16">
        <v>1.0</v>
      </c>
      <c r="F3" s="11">
        <v>1.0</v>
      </c>
      <c r="G3" s="12">
        <f t="shared" ref="G3:G9" si="1">E3-F3</f>
        <v>0</v>
      </c>
      <c r="H3" s="13">
        <v>45967.0</v>
      </c>
      <c r="I3" s="14" t="s">
        <v>14</v>
      </c>
      <c r="J3" s="13">
        <v>45976.0</v>
      </c>
      <c r="K3" s="7" t="s">
        <v>16</v>
      </c>
      <c r="L3" s="17"/>
    </row>
    <row r="4">
      <c r="A4" s="7">
        <v>2.0</v>
      </c>
      <c r="B4" s="20" t="s">
        <v>25</v>
      </c>
      <c r="C4" s="9" t="s">
        <v>26</v>
      </c>
      <c r="D4" s="10"/>
      <c r="E4" s="16"/>
      <c r="F4" s="11">
        <v>14.0</v>
      </c>
      <c r="G4" s="12">
        <f t="shared" si="1"/>
        <v>-14</v>
      </c>
      <c r="H4" s="13"/>
      <c r="I4" s="14"/>
      <c r="J4" s="13">
        <v>45974.0</v>
      </c>
      <c r="K4" s="7" t="s">
        <v>16</v>
      </c>
      <c r="L4" s="17"/>
    </row>
    <row r="5">
      <c r="A5" s="7">
        <v>3.0</v>
      </c>
      <c r="B5" s="20">
        <v>9.08371014E8</v>
      </c>
      <c r="C5" s="9" t="s">
        <v>113</v>
      </c>
      <c r="D5" s="10"/>
      <c r="E5" s="16"/>
      <c r="F5" s="11">
        <v>1.0</v>
      </c>
      <c r="G5" s="12">
        <f t="shared" si="1"/>
        <v>-1</v>
      </c>
      <c r="H5" s="13"/>
      <c r="I5" s="14"/>
      <c r="J5" s="13">
        <v>46036.0</v>
      </c>
      <c r="K5" s="7" t="s">
        <v>16</v>
      </c>
      <c r="L5" s="17"/>
    </row>
    <row r="6">
      <c r="A6" s="7">
        <v>4.0</v>
      </c>
      <c r="B6" s="20">
        <v>9.08402208E8</v>
      </c>
      <c r="C6" s="9" t="s">
        <v>111</v>
      </c>
      <c r="D6" s="10"/>
      <c r="E6" s="16"/>
      <c r="F6" s="11">
        <v>1.0</v>
      </c>
      <c r="G6" s="12">
        <f t="shared" si="1"/>
        <v>-1</v>
      </c>
      <c r="H6" s="13"/>
      <c r="I6" s="14"/>
      <c r="J6" s="13">
        <v>46036.0</v>
      </c>
      <c r="K6" s="7" t="s">
        <v>16</v>
      </c>
      <c r="L6" s="17"/>
    </row>
    <row r="7">
      <c r="A7" s="7">
        <v>5.0</v>
      </c>
      <c r="B7" s="20">
        <v>9.08421025E8</v>
      </c>
      <c r="C7" s="9" t="s">
        <v>112</v>
      </c>
      <c r="D7" s="10"/>
      <c r="E7" s="16"/>
      <c r="F7" s="11">
        <v>1.0</v>
      </c>
      <c r="G7" s="12">
        <f t="shared" si="1"/>
        <v>-1</v>
      </c>
      <c r="H7" s="13"/>
      <c r="I7" s="14"/>
      <c r="J7" s="13">
        <v>46036.0</v>
      </c>
      <c r="K7" s="7" t="s">
        <v>16</v>
      </c>
      <c r="L7" s="17"/>
    </row>
    <row r="8">
      <c r="A8" s="7">
        <v>6.0</v>
      </c>
      <c r="B8" s="19">
        <v>9.08111101E8</v>
      </c>
      <c r="C8" s="20" t="s">
        <v>24</v>
      </c>
      <c r="D8" s="10"/>
      <c r="E8" s="16"/>
      <c r="F8" s="11">
        <v>2.0</v>
      </c>
      <c r="G8" s="12">
        <f t="shared" si="1"/>
        <v>-2</v>
      </c>
      <c r="H8" s="13"/>
      <c r="I8" s="14"/>
      <c r="J8" s="13">
        <v>46036.0</v>
      </c>
      <c r="K8" s="7" t="s">
        <v>16</v>
      </c>
      <c r="L8" s="17"/>
    </row>
    <row r="9">
      <c r="A9" s="7"/>
      <c r="B9" s="8"/>
      <c r="C9" s="9"/>
      <c r="D9" s="10"/>
      <c r="E9" s="16"/>
      <c r="F9" s="11"/>
      <c r="G9" s="12">
        <f t="shared" si="1"/>
        <v>0</v>
      </c>
      <c r="H9" s="13"/>
      <c r="I9" s="14"/>
      <c r="J9" s="13"/>
      <c r="K9" s="7"/>
      <c r="L9" s="17"/>
    </row>
    <row r="10">
      <c r="A10" s="7"/>
      <c r="B10" s="8"/>
      <c r="C10" s="9"/>
      <c r="D10" s="10"/>
      <c r="E10" s="16"/>
      <c r="F10" s="11">
        <v>6.0</v>
      </c>
      <c r="G10" s="12"/>
      <c r="H10" s="13"/>
      <c r="I10" s="14"/>
      <c r="J10" s="13"/>
      <c r="K10" s="7"/>
      <c r="L1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9.08122008E8</v>
      </c>
      <c r="C3" s="9" t="s">
        <v>231</v>
      </c>
      <c r="D3" s="10">
        <v>2.7873744E7</v>
      </c>
      <c r="E3" s="16">
        <v>1.0</v>
      </c>
      <c r="F3" s="11"/>
      <c r="G3" s="12">
        <f t="shared" ref="G3:G23" si="1">E3-F3</f>
        <v>1</v>
      </c>
      <c r="H3" s="13">
        <v>45949.0</v>
      </c>
      <c r="I3" s="14" t="s">
        <v>14</v>
      </c>
      <c r="J3" s="13"/>
      <c r="K3" s="7"/>
      <c r="L3" s="17"/>
    </row>
    <row r="4">
      <c r="A4" s="7">
        <v>2.0</v>
      </c>
      <c r="B4" s="19">
        <v>9.0812101E8</v>
      </c>
      <c r="C4" s="20" t="s">
        <v>18</v>
      </c>
      <c r="D4" s="10">
        <v>2.7873744E7</v>
      </c>
      <c r="E4" s="16">
        <v>1.0</v>
      </c>
      <c r="F4" s="11">
        <v>1.0</v>
      </c>
      <c r="G4" s="12">
        <f t="shared" si="1"/>
        <v>0</v>
      </c>
      <c r="H4" s="13">
        <v>45949.0</v>
      </c>
      <c r="I4" s="14" t="s">
        <v>14</v>
      </c>
      <c r="J4" s="13">
        <v>45977.0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2.7873744E7</v>
      </c>
      <c r="E5" s="16">
        <v>3.0</v>
      </c>
      <c r="F5" s="11">
        <v>3.0</v>
      </c>
      <c r="G5" s="12">
        <f t="shared" si="1"/>
        <v>0</v>
      </c>
      <c r="H5" s="13">
        <v>45949.0</v>
      </c>
      <c r="I5" s="14" t="s">
        <v>14</v>
      </c>
      <c r="J5" s="13">
        <v>45977.0</v>
      </c>
      <c r="K5" s="7" t="s">
        <v>16</v>
      </c>
      <c r="L5" s="17"/>
    </row>
    <row r="6">
      <c r="A6" s="7">
        <v>4.0</v>
      </c>
      <c r="B6" s="8">
        <v>9.0812201E8</v>
      </c>
      <c r="C6" s="9" t="s">
        <v>80</v>
      </c>
      <c r="D6" s="10">
        <v>2.7873744E7</v>
      </c>
      <c r="E6" s="16">
        <v>4.0</v>
      </c>
      <c r="F6" s="11"/>
      <c r="G6" s="12">
        <f t="shared" si="1"/>
        <v>4</v>
      </c>
      <c r="H6" s="13">
        <v>45949.0</v>
      </c>
      <c r="I6" s="14" t="s">
        <v>14</v>
      </c>
      <c r="J6" s="13"/>
      <c r="K6" s="7"/>
      <c r="L6" s="17"/>
    </row>
    <row r="7">
      <c r="A7" s="7">
        <v>5.0</v>
      </c>
      <c r="B7" s="8" t="s">
        <v>25</v>
      </c>
      <c r="C7" s="9" t="s">
        <v>26</v>
      </c>
      <c r="D7" s="10"/>
      <c r="E7" s="16"/>
      <c r="F7" s="11">
        <v>17.0</v>
      </c>
      <c r="G7" s="12">
        <f t="shared" si="1"/>
        <v>-17</v>
      </c>
      <c r="H7" s="13"/>
      <c r="I7" s="14"/>
      <c r="J7" s="13">
        <v>45969.0</v>
      </c>
      <c r="K7" s="7" t="s">
        <v>16</v>
      </c>
      <c r="L7" s="17"/>
    </row>
    <row r="8">
      <c r="A8" s="7">
        <v>6.0</v>
      </c>
      <c r="B8" s="8" t="s">
        <v>27</v>
      </c>
      <c r="C8" s="9" t="s">
        <v>28</v>
      </c>
      <c r="D8" s="10"/>
      <c r="E8" s="16"/>
      <c r="F8" s="11">
        <v>115.0</v>
      </c>
      <c r="G8" s="12">
        <f t="shared" si="1"/>
        <v>-115</v>
      </c>
      <c r="H8" s="13"/>
      <c r="I8" s="14"/>
      <c r="J8" s="13">
        <v>45969.0</v>
      </c>
      <c r="K8" s="7" t="s">
        <v>16</v>
      </c>
      <c r="L8" s="17"/>
    </row>
    <row r="9">
      <c r="A9" s="7">
        <v>7.0</v>
      </c>
      <c r="B9" s="9">
        <v>9.08421031E8</v>
      </c>
      <c r="C9" s="9" t="s">
        <v>122</v>
      </c>
      <c r="D9" s="10">
        <v>2.8111594E7</v>
      </c>
      <c r="E9" s="16">
        <v>1.0</v>
      </c>
      <c r="F9" s="11">
        <v>1.0</v>
      </c>
      <c r="G9" s="12">
        <f t="shared" si="1"/>
        <v>0</v>
      </c>
      <c r="H9" s="13">
        <v>45985.0</v>
      </c>
      <c r="I9" s="14" t="s">
        <v>14</v>
      </c>
      <c r="J9" s="13">
        <v>45984.0</v>
      </c>
      <c r="K9" s="7" t="s">
        <v>16</v>
      </c>
      <c r="L9" s="17"/>
    </row>
    <row r="10">
      <c r="A10" s="7">
        <v>8.0</v>
      </c>
      <c r="B10" s="9">
        <v>9.08402208E8</v>
      </c>
      <c r="C10" s="9" t="s">
        <v>111</v>
      </c>
      <c r="D10" s="10">
        <v>2.8111594E7</v>
      </c>
      <c r="E10" s="16">
        <v>2.0</v>
      </c>
      <c r="F10" s="11">
        <v>6.0</v>
      </c>
      <c r="G10" s="12">
        <f t="shared" si="1"/>
        <v>-4</v>
      </c>
      <c r="H10" s="13">
        <v>45985.0</v>
      </c>
      <c r="I10" s="14" t="s">
        <v>14</v>
      </c>
      <c r="J10" s="13">
        <v>45984.0</v>
      </c>
      <c r="K10" s="7" t="s">
        <v>16</v>
      </c>
      <c r="L10" s="17"/>
    </row>
    <row r="11">
      <c r="A11" s="7">
        <v>9.0</v>
      </c>
      <c r="B11" s="9">
        <v>9.08111101E8</v>
      </c>
      <c r="C11" s="9" t="s">
        <v>24</v>
      </c>
      <c r="D11" s="10"/>
      <c r="E11" s="16"/>
      <c r="F11" s="11">
        <v>4.0</v>
      </c>
      <c r="G11" s="12">
        <f t="shared" si="1"/>
        <v>-4</v>
      </c>
      <c r="H11" s="13"/>
      <c r="I11" s="14"/>
      <c r="J11" s="13">
        <v>45984.0</v>
      </c>
      <c r="K11" s="7" t="s">
        <v>16</v>
      </c>
      <c r="L11" s="17"/>
    </row>
    <row r="12">
      <c r="A12" s="7">
        <v>10.0</v>
      </c>
      <c r="B12" s="9">
        <v>9.08202189E8</v>
      </c>
      <c r="C12" s="9" t="s">
        <v>55</v>
      </c>
      <c r="D12" s="10"/>
      <c r="E12" s="16"/>
      <c r="F12" s="11">
        <v>2.0</v>
      </c>
      <c r="G12" s="12">
        <f t="shared" si="1"/>
        <v>-2</v>
      </c>
      <c r="H12" s="13"/>
      <c r="I12" s="14"/>
      <c r="J12" s="13">
        <v>45984.0</v>
      </c>
      <c r="K12" s="7" t="s">
        <v>16</v>
      </c>
      <c r="L12" s="17"/>
    </row>
    <row r="13">
      <c r="A13" s="7">
        <v>11.0</v>
      </c>
      <c r="B13" s="9" t="s">
        <v>20</v>
      </c>
      <c r="C13" s="9" t="s">
        <v>21</v>
      </c>
      <c r="D13" s="10">
        <v>2.8111594E7</v>
      </c>
      <c r="E13" s="16">
        <v>2.0</v>
      </c>
      <c r="F13" s="11">
        <v>2.0</v>
      </c>
      <c r="G13" s="12">
        <f t="shared" si="1"/>
        <v>0</v>
      </c>
      <c r="H13" s="13">
        <v>45985.0</v>
      </c>
      <c r="I13" s="14" t="s">
        <v>14</v>
      </c>
      <c r="J13" s="13">
        <v>45984.0</v>
      </c>
      <c r="K13" s="7" t="s">
        <v>16</v>
      </c>
      <c r="L13" s="17"/>
    </row>
    <row r="14">
      <c r="A14" s="7">
        <v>12.0</v>
      </c>
      <c r="B14" s="9">
        <v>9.08371012E8</v>
      </c>
      <c r="C14" s="9" t="s">
        <v>150</v>
      </c>
      <c r="D14" s="10">
        <v>2.8111594E7</v>
      </c>
      <c r="E14" s="16">
        <v>2.0</v>
      </c>
      <c r="F14" s="11">
        <v>2.0</v>
      </c>
      <c r="G14" s="12">
        <f t="shared" si="1"/>
        <v>0</v>
      </c>
      <c r="H14" s="13">
        <v>45985.0</v>
      </c>
      <c r="I14" s="14" t="s">
        <v>14</v>
      </c>
      <c r="J14" s="13">
        <v>45984.0</v>
      </c>
      <c r="K14" s="7" t="s">
        <v>16</v>
      </c>
      <c r="L14" s="17"/>
    </row>
    <row r="15">
      <c r="A15" s="7">
        <v>13.0</v>
      </c>
      <c r="B15" s="9">
        <v>9.08375E8</v>
      </c>
      <c r="C15" s="9" t="s">
        <v>232</v>
      </c>
      <c r="D15" s="10">
        <v>2.8111594E7</v>
      </c>
      <c r="E15" s="16">
        <v>1.0</v>
      </c>
      <c r="F15" s="11">
        <v>1.0</v>
      </c>
      <c r="G15" s="12">
        <f t="shared" si="1"/>
        <v>0</v>
      </c>
      <c r="H15" s="13">
        <v>45985.0</v>
      </c>
      <c r="I15" s="14" t="s">
        <v>14</v>
      </c>
      <c r="J15" s="13">
        <v>45984.0</v>
      </c>
      <c r="K15" s="7" t="s">
        <v>16</v>
      </c>
      <c r="L15" s="17"/>
    </row>
    <row r="16">
      <c r="A16" s="7">
        <v>14.0</v>
      </c>
      <c r="B16" s="9">
        <v>9.08501001E8</v>
      </c>
      <c r="C16" s="9" t="s">
        <v>233</v>
      </c>
      <c r="D16" s="10">
        <v>2.8111594E7</v>
      </c>
      <c r="E16" s="16">
        <v>3.0</v>
      </c>
      <c r="F16" s="11">
        <v>3.0</v>
      </c>
      <c r="G16" s="12">
        <f t="shared" si="1"/>
        <v>0</v>
      </c>
      <c r="H16" s="13">
        <v>45985.0</v>
      </c>
      <c r="I16" s="14" t="s">
        <v>14</v>
      </c>
      <c r="J16" s="13">
        <v>45984.0</v>
      </c>
      <c r="K16" s="7" t="s">
        <v>16</v>
      </c>
      <c r="L16" s="17"/>
    </row>
    <row r="17">
      <c r="A17" s="7">
        <v>15.0</v>
      </c>
      <c r="B17" s="9">
        <v>9.08402206E8</v>
      </c>
      <c r="C17" s="9" t="s">
        <v>234</v>
      </c>
      <c r="D17" s="10">
        <v>2.8111594E7</v>
      </c>
      <c r="E17" s="16">
        <v>1.0</v>
      </c>
      <c r="F17" s="11">
        <v>1.0</v>
      </c>
      <c r="G17" s="12">
        <f t="shared" si="1"/>
        <v>0</v>
      </c>
      <c r="H17" s="13">
        <v>45985.0</v>
      </c>
      <c r="I17" s="14" t="s">
        <v>14</v>
      </c>
      <c r="J17" s="13">
        <v>45984.0</v>
      </c>
      <c r="K17" s="7" t="s">
        <v>16</v>
      </c>
      <c r="L17" s="17"/>
    </row>
    <row r="18">
      <c r="A18" s="7">
        <v>16.0</v>
      </c>
      <c r="B18" s="9">
        <v>9.08421005E8</v>
      </c>
      <c r="C18" s="9" t="s">
        <v>129</v>
      </c>
      <c r="D18" s="10">
        <v>2.8111594E7</v>
      </c>
      <c r="E18" s="16">
        <v>1.0</v>
      </c>
      <c r="F18" s="11">
        <v>1.0</v>
      </c>
      <c r="G18" s="12">
        <f t="shared" si="1"/>
        <v>0</v>
      </c>
      <c r="H18" s="13">
        <v>45985.0</v>
      </c>
      <c r="I18" s="14" t="s">
        <v>14</v>
      </c>
      <c r="J18" s="13">
        <v>45984.0</v>
      </c>
      <c r="K18" s="7" t="s">
        <v>16</v>
      </c>
      <c r="L18" s="17"/>
    </row>
    <row r="19">
      <c r="A19" s="7">
        <v>17.0</v>
      </c>
      <c r="B19" s="9">
        <v>9.0820203E8</v>
      </c>
      <c r="C19" s="9" t="s">
        <v>19</v>
      </c>
      <c r="D19" s="10">
        <v>2.8111594E7</v>
      </c>
      <c r="E19" s="16">
        <v>3.0</v>
      </c>
      <c r="F19" s="11">
        <v>2.0</v>
      </c>
      <c r="G19" s="12">
        <f t="shared" si="1"/>
        <v>1</v>
      </c>
      <c r="H19" s="13">
        <v>45985.0</v>
      </c>
      <c r="I19" s="14" t="s">
        <v>14</v>
      </c>
      <c r="J19" s="13">
        <v>45984.0</v>
      </c>
      <c r="K19" s="7" t="s">
        <v>16</v>
      </c>
      <c r="L19" s="17"/>
    </row>
    <row r="20">
      <c r="A20" s="7">
        <v>18.0</v>
      </c>
      <c r="B20" s="9">
        <v>9.08122035E8</v>
      </c>
      <c r="C20" s="9" t="s">
        <v>235</v>
      </c>
      <c r="D20" s="10">
        <v>2.8111594E7</v>
      </c>
      <c r="E20" s="16">
        <v>4.0</v>
      </c>
      <c r="F20" s="11">
        <v>4.0</v>
      </c>
      <c r="G20" s="12">
        <f t="shared" si="1"/>
        <v>0</v>
      </c>
      <c r="H20" s="13">
        <v>45985.0</v>
      </c>
      <c r="I20" s="14" t="s">
        <v>14</v>
      </c>
      <c r="J20" s="13">
        <v>45984.0</v>
      </c>
      <c r="K20" s="7" t="s">
        <v>16</v>
      </c>
      <c r="L20" s="17"/>
    </row>
    <row r="21" ht="15.75" customHeight="1">
      <c r="A21" s="7">
        <v>19.0</v>
      </c>
      <c r="B21" s="9">
        <v>9.0812201E8</v>
      </c>
      <c r="C21" s="9" t="s">
        <v>80</v>
      </c>
      <c r="D21" s="10"/>
      <c r="E21" s="16"/>
      <c r="F21" s="11">
        <v>4.0</v>
      </c>
      <c r="G21" s="12">
        <f t="shared" si="1"/>
        <v>-4</v>
      </c>
      <c r="H21" s="13"/>
      <c r="I21" s="14"/>
      <c r="J21" s="13">
        <v>45984.0</v>
      </c>
      <c r="K21" s="7" t="s">
        <v>16</v>
      </c>
      <c r="L21" s="17"/>
    </row>
    <row r="22" ht="15.75" customHeight="1">
      <c r="A22" s="7">
        <v>20.0</v>
      </c>
      <c r="B22" s="9">
        <v>9.08202189E8</v>
      </c>
      <c r="C22" s="9" t="s">
        <v>55</v>
      </c>
      <c r="D22" s="10">
        <v>2.8111594E7</v>
      </c>
      <c r="E22" s="16">
        <v>2.0</v>
      </c>
      <c r="F22" s="11">
        <v>2.0</v>
      </c>
      <c r="G22" s="12">
        <f t="shared" si="1"/>
        <v>0</v>
      </c>
      <c r="H22" s="13">
        <v>45985.0</v>
      </c>
      <c r="I22" s="14" t="s">
        <v>14</v>
      </c>
      <c r="J22" s="13">
        <v>45984.0</v>
      </c>
      <c r="K22" s="7" t="s">
        <v>16</v>
      </c>
      <c r="L22" s="17"/>
    </row>
    <row r="23" ht="15.75" customHeight="1">
      <c r="A23" s="7">
        <v>21.0</v>
      </c>
      <c r="B23" s="9">
        <v>9.08020201E8</v>
      </c>
      <c r="C23" s="9" t="s">
        <v>13</v>
      </c>
      <c r="D23" s="10">
        <v>2.8111594E7</v>
      </c>
      <c r="E23" s="16">
        <v>1.0</v>
      </c>
      <c r="F23" s="11"/>
      <c r="G23" s="12">
        <f t="shared" si="1"/>
        <v>1</v>
      </c>
      <c r="H23" s="13">
        <v>45985.0</v>
      </c>
      <c r="I23" s="14" t="s">
        <v>14</v>
      </c>
      <c r="J23" s="13"/>
      <c r="K23" s="7"/>
      <c r="L23" s="1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2.7887474E7</v>
      </c>
      <c r="E3" s="16">
        <v>2.0</v>
      </c>
      <c r="F3" s="11">
        <v>2.0</v>
      </c>
      <c r="G3" s="12">
        <f t="shared" ref="G3:G20" si="1">E3-F3</f>
        <v>0</v>
      </c>
      <c r="H3" s="13">
        <v>45949.0</v>
      </c>
      <c r="I3" s="14" t="s">
        <v>14</v>
      </c>
      <c r="J3" s="13">
        <v>45970.0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2.7887474E7</v>
      </c>
      <c r="E4" s="16">
        <v>2.0</v>
      </c>
      <c r="F4" s="11">
        <f>1+1</f>
        <v>2</v>
      </c>
      <c r="G4" s="12">
        <f t="shared" si="1"/>
        <v>0</v>
      </c>
      <c r="H4" s="13">
        <v>45949.0</v>
      </c>
      <c r="I4" s="14" t="s">
        <v>14</v>
      </c>
      <c r="J4" s="13" t="s">
        <v>237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2.7887474E7</v>
      </c>
      <c r="E5" s="16">
        <v>3.0</v>
      </c>
      <c r="F5" s="11">
        <v>3.0</v>
      </c>
      <c r="G5" s="12">
        <f t="shared" si="1"/>
        <v>0</v>
      </c>
      <c r="H5" s="13">
        <v>45949.0</v>
      </c>
      <c r="I5" s="14" t="s">
        <v>14</v>
      </c>
      <c r="J5" s="13">
        <v>45977.0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2.7887474E7</v>
      </c>
      <c r="E6" s="16">
        <v>2.0</v>
      </c>
      <c r="F6" s="11">
        <v>2.0</v>
      </c>
      <c r="G6" s="12">
        <f t="shared" si="1"/>
        <v>0</v>
      </c>
      <c r="H6" s="13">
        <v>45949.0</v>
      </c>
      <c r="I6" s="14" t="s">
        <v>14</v>
      </c>
      <c r="J6" s="13">
        <v>45970.0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2.7887474E7</v>
      </c>
      <c r="E7" s="16">
        <v>2.0</v>
      </c>
      <c r="F7" s="11">
        <v>2.0</v>
      </c>
      <c r="G7" s="12">
        <f t="shared" si="1"/>
        <v>0</v>
      </c>
      <c r="H7" s="13">
        <v>45949.0</v>
      </c>
      <c r="I7" s="14" t="s">
        <v>14</v>
      </c>
      <c r="J7" s="13">
        <v>45970.0</v>
      </c>
      <c r="K7" s="7" t="s">
        <v>16</v>
      </c>
      <c r="L7" s="17"/>
    </row>
    <row r="8">
      <c r="A8" s="7">
        <v>6.0</v>
      </c>
      <c r="B8" s="8">
        <v>9.08202098E8</v>
      </c>
      <c r="C8" s="9" t="s">
        <v>22</v>
      </c>
      <c r="D8" s="10">
        <v>2.7887474E7</v>
      </c>
      <c r="E8" s="16">
        <v>2.0</v>
      </c>
      <c r="F8" s="11">
        <v>2.0</v>
      </c>
      <c r="G8" s="12">
        <f t="shared" si="1"/>
        <v>0</v>
      </c>
      <c r="H8" s="13" t="s">
        <v>238</v>
      </c>
      <c r="I8" s="14" t="s">
        <v>14</v>
      </c>
      <c r="J8" s="13">
        <v>45970.0</v>
      </c>
      <c r="K8" s="7" t="s">
        <v>16</v>
      </c>
      <c r="L8" s="17"/>
    </row>
    <row r="9">
      <c r="A9" s="7">
        <v>7.0</v>
      </c>
      <c r="B9" s="19">
        <v>9.08020201E8</v>
      </c>
      <c r="C9" s="20" t="s">
        <v>13</v>
      </c>
      <c r="D9" s="39" t="s">
        <v>239</v>
      </c>
      <c r="E9" s="16">
        <f>1+3</f>
        <v>4</v>
      </c>
      <c r="F9" s="11"/>
      <c r="G9" s="12">
        <f t="shared" si="1"/>
        <v>4</v>
      </c>
      <c r="H9" s="13">
        <v>45957.0</v>
      </c>
      <c r="I9" s="14" t="s">
        <v>14</v>
      </c>
      <c r="J9" s="13"/>
      <c r="K9" s="7"/>
      <c r="L9" s="17"/>
    </row>
    <row r="10">
      <c r="A10" s="7">
        <v>8.0</v>
      </c>
      <c r="B10" s="19" t="s">
        <v>103</v>
      </c>
      <c r="C10" s="20" t="s">
        <v>104</v>
      </c>
      <c r="D10" s="10">
        <v>2.7887474E7</v>
      </c>
      <c r="E10" s="16">
        <v>1.0</v>
      </c>
      <c r="F10" s="11">
        <v>6.0</v>
      </c>
      <c r="G10" s="12">
        <f t="shared" si="1"/>
        <v>-5</v>
      </c>
      <c r="H10" s="13">
        <v>45957.0</v>
      </c>
      <c r="I10" s="14" t="s">
        <v>14</v>
      </c>
      <c r="J10" s="13">
        <v>45970.0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>
        <v>2.7887474E7</v>
      </c>
      <c r="E11" s="16">
        <v>65.0</v>
      </c>
      <c r="F11" s="11">
        <v>63.0</v>
      </c>
      <c r="G11" s="12">
        <f t="shared" si="1"/>
        <v>2</v>
      </c>
      <c r="H11" s="13"/>
      <c r="I11" s="14"/>
      <c r="J11" s="13">
        <v>45970.0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>
        <v>2.7887474E7</v>
      </c>
      <c r="E12" s="16">
        <v>50.0</v>
      </c>
      <c r="F12" s="11">
        <v>72.0</v>
      </c>
      <c r="G12" s="12">
        <f t="shared" si="1"/>
        <v>-22</v>
      </c>
      <c r="H12" s="13"/>
      <c r="I12" s="14"/>
      <c r="J12" s="13">
        <v>45970.0</v>
      </c>
      <c r="K12" s="7" t="s">
        <v>16</v>
      </c>
      <c r="L12" s="17"/>
    </row>
    <row r="13">
      <c r="A13" s="7">
        <v>11.0</v>
      </c>
      <c r="B13" s="8">
        <v>9.08111101E8</v>
      </c>
      <c r="C13" s="9" t="s">
        <v>24</v>
      </c>
      <c r="D13" s="10"/>
      <c r="E13" s="16"/>
      <c r="F13" s="11">
        <v>6.0</v>
      </c>
      <c r="G13" s="12">
        <f t="shared" si="1"/>
        <v>-6</v>
      </c>
      <c r="H13" s="13"/>
      <c r="I13" s="14"/>
      <c r="J13" s="13">
        <v>45970.0</v>
      </c>
      <c r="K13" s="7" t="s">
        <v>16</v>
      </c>
      <c r="L13" s="17"/>
    </row>
    <row r="14">
      <c r="A14" s="7">
        <v>12.0</v>
      </c>
      <c r="B14" s="8">
        <v>9.08421025E8</v>
      </c>
      <c r="C14" s="9" t="s">
        <v>112</v>
      </c>
      <c r="D14" s="10">
        <v>2.8113871E7</v>
      </c>
      <c r="E14" s="16">
        <v>3.0</v>
      </c>
      <c r="F14" s="11">
        <v>3.0</v>
      </c>
      <c r="G14" s="12">
        <f t="shared" si="1"/>
        <v>0</v>
      </c>
      <c r="H14" s="13">
        <v>45984.0</v>
      </c>
      <c r="I14" s="14" t="s">
        <v>14</v>
      </c>
      <c r="J14" s="13">
        <v>45986.0</v>
      </c>
      <c r="K14" s="7" t="s">
        <v>16</v>
      </c>
      <c r="L14" s="17"/>
    </row>
    <row r="15">
      <c r="A15" s="7">
        <v>13.0</v>
      </c>
      <c r="B15" s="8">
        <v>9.08402208E8</v>
      </c>
      <c r="C15" s="9" t="s">
        <v>111</v>
      </c>
      <c r="D15" s="10">
        <v>2.8113871E7</v>
      </c>
      <c r="E15" s="16">
        <v>3.0</v>
      </c>
      <c r="F15" s="11">
        <v>3.0</v>
      </c>
      <c r="G15" s="12">
        <f t="shared" si="1"/>
        <v>0</v>
      </c>
      <c r="H15" s="13">
        <v>45984.0</v>
      </c>
      <c r="I15" s="14" t="s">
        <v>14</v>
      </c>
      <c r="J15" s="13">
        <v>45986.0</v>
      </c>
      <c r="K15" s="7" t="s">
        <v>16</v>
      </c>
      <c r="L15" s="17"/>
    </row>
    <row r="16">
      <c r="A16" s="7">
        <v>14.0</v>
      </c>
      <c r="B16" s="8" t="s">
        <v>20</v>
      </c>
      <c r="C16" s="9" t="s">
        <v>21</v>
      </c>
      <c r="D16" s="10">
        <v>2.8113871E7</v>
      </c>
      <c r="E16" s="16">
        <v>3.0</v>
      </c>
      <c r="F16" s="11">
        <v>3.0</v>
      </c>
      <c r="G16" s="12">
        <f t="shared" si="1"/>
        <v>0</v>
      </c>
      <c r="H16" s="13">
        <v>45984.0</v>
      </c>
      <c r="I16" s="14" t="s">
        <v>14</v>
      </c>
      <c r="J16" s="13">
        <v>45986.0</v>
      </c>
      <c r="K16" s="7" t="s">
        <v>16</v>
      </c>
      <c r="L16" s="17"/>
    </row>
    <row r="17">
      <c r="A17" s="7">
        <v>15.0</v>
      </c>
      <c r="B17" s="8">
        <v>9.0820203E8</v>
      </c>
      <c r="C17" s="9" t="s">
        <v>19</v>
      </c>
      <c r="D17" s="10">
        <v>2.8113871E7</v>
      </c>
      <c r="E17" s="16">
        <v>3.0</v>
      </c>
      <c r="F17" s="11">
        <v>3.0</v>
      </c>
      <c r="G17" s="12">
        <f t="shared" si="1"/>
        <v>0</v>
      </c>
      <c r="H17" s="13">
        <v>45984.0</v>
      </c>
      <c r="I17" s="14" t="s">
        <v>14</v>
      </c>
      <c r="J17" s="13">
        <v>45986.0</v>
      </c>
      <c r="K17" s="7" t="s">
        <v>16</v>
      </c>
      <c r="L17" s="17"/>
    </row>
    <row r="18">
      <c r="A18" s="7">
        <v>16.0</v>
      </c>
      <c r="B18" s="8">
        <v>9.08371014E8</v>
      </c>
      <c r="C18" s="9" t="s">
        <v>113</v>
      </c>
      <c r="D18" s="10">
        <v>2.8113871E7</v>
      </c>
      <c r="E18" s="16">
        <v>3.0</v>
      </c>
      <c r="F18" s="11">
        <v>3.0</v>
      </c>
      <c r="G18" s="12">
        <f t="shared" si="1"/>
        <v>0</v>
      </c>
      <c r="H18" s="13">
        <v>45984.0</v>
      </c>
      <c r="I18" s="14" t="s">
        <v>14</v>
      </c>
      <c r="J18" s="13">
        <v>45986.0</v>
      </c>
      <c r="K18" s="7" t="s">
        <v>16</v>
      </c>
      <c r="L18" s="17"/>
    </row>
    <row r="19">
      <c r="A19" s="7">
        <v>17.0</v>
      </c>
      <c r="B19" s="8">
        <v>9.08111101E8</v>
      </c>
      <c r="C19" s="9" t="s">
        <v>24</v>
      </c>
      <c r="D19" s="10"/>
      <c r="E19" s="16"/>
      <c r="F19" s="11">
        <v>6.0</v>
      </c>
      <c r="G19" s="12">
        <f t="shared" si="1"/>
        <v>-6</v>
      </c>
      <c r="H19" s="13"/>
      <c r="I19" s="14"/>
      <c r="J19" s="13">
        <v>45986.0</v>
      </c>
      <c r="K19" s="7" t="s">
        <v>16</v>
      </c>
      <c r="L19" s="17"/>
    </row>
    <row r="20">
      <c r="A20" s="7"/>
      <c r="B20" s="8">
        <v>9.08202189E8</v>
      </c>
      <c r="C20" s="9" t="s">
        <v>55</v>
      </c>
      <c r="D20" s="10">
        <v>2.43045014E8</v>
      </c>
      <c r="E20" s="16">
        <v>3.0</v>
      </c>
      <c r="F20" s="11">
        <v>3.0</v>
      </c>
      <c r="G20" s="12">
        <f t="shared" si="1"/>
        <v>0</v>
      </c>
      <c r="H20" s="13">
        <v>45985.0</v>
      </c>
      <c r="I20" s="14" t="s">
        <v>14</v>
      </c>
      <c r="J20" s="13">
        <v>45986.0</v>
      </c>
      <c r="K20" s="7" t="s">
        <v>16</v>
      </c>
      <c r="L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2.7886752E7</v>
      </c>
      <c r="E3" s="16">
        <v>2.0</v>
      </c>
      <c r="F3" s="11">
        <v>2.0</v>
      </c>
      <c r="G3" s="12">
        <f t="shared" ref="G3:G12" si="1">E3-F3</f>
        <v>0</v>
      </c>
      <c r="H3" s="13">
        <v>45949.0</v>
      </c>
      <c r="I3" s="14" t="s">
        <v>14</v>
      </c>
      <c r="J3" s="13">
        <v>45976.0</v>
      </c>
      <c r="K3" s="7" t="s">
        <v>16</v>
      </c>
      <c r="L3" s="17"/>
    </row>
    <row r="4">
      <c r="A4" s="7">
        <v>2.0</v>
      </c>
      <c r="B4" s="8" t="s">
        <v>25</v>
      </c>
      <c r="C4" s="9" t="s">
        <v>26</v>
      </c>
      <c r="D4" s="10"/>
      <c r="E4" s="16"/>
      <c r="F4" s="11">
        <v>44.0</v>
      </c>
      <c r="G4" s="12">
        <f t="shared" si="1"/>
        <v>-44</v>
      </c>
      <c r="H4" s="13"/>
      <c r="I4" s="14"/>
      <c r="J4" s="13">
        <v>45971.0</v>
      </c>
      <c r="K4" s="7" t="s">
        <v>16</v>
      </c>
      <c r="L4" s="17"/>
    </row>
    <row r="5">
      <c r="A5" s="7">
        <v>3.0</v>
      </c>
      <c r="B5" s="8">
        <v>9.08421025E8</v>
      </c>
      <c r="C5" s="9" t="s">
        <v>112</v>
      </c>
      <c r="D5" s="10">
        <v>2.8114209E7</v>
      </c>
      <c r="E5" s="16">
        <v>2.0</v>
      </c>
      <c r="F5" s="11">
        <v>2.0</v>
      </c>
      <c r="G5" s="12">
        <f t="shared" si="1"/>
        <v>0</v>
      </c>
      <c r="H5" s="13">
        <v>45984.0</v>
      </c>
      <c r="I5" s="14" t="s">
        <v>14</v>
      </c>
      <c r="J5" s="13">
        <v>45986.0</v>
      </c>
      <c r="K5" s="7" t="s">
        <v>16</v>
      </c>
      <c r="L5" s="17"/>
    </row>
    <row r="6">
      <c r="A6" s="7">
        <v>4.0</v>
      </c>
      <c r="B6" s="8">
        <v>9.08402208E8</v>
      </c>
      <c r="C6" s="9" t="s">
        <v>111</v>
      </c>
      <c r="D6" s="10">
        <v>2.8114209E7</v>
      </c>
      <c r="E6" s="16">
        <v>2.0</v>
      </c>
      <c r="F6" s="11">
        <v>2.0</v>
      </c>
      <c r="G6" s="12">
        <f t="shared" si="1"/>
        <v>0</v>
      </c>
      <c r="H6" s="13">
        <v>45984.0</v>
      </c>
      <c r="I6" s="14" t="s">
        <v>14</v>
      </c>
      <c r="J6" s="13">
        <v>45986.0</v>
      </c>
      <c r="K6" s="7" t="s">
        <v>16</v>
      </c>
      <c r="L6" s="17"/>
    </row>
    <row r="7">
      <c r="A7" s="7">
        <v>5.0</v>
      </c>
      <c r="B7" s="8" t="s">
        <v>20</v>
      </c>
      <c r="C7" s="9" t="s">
        <v>21</v>
      </c>
      <c r="D7" s="10">
        <v>2.8114209E7</v>
      </c>
      <c r="E7" s="16">
        <v>2.0</v>
      </c>
      <c r="F7" s="11">
        <v>2.0</v>
      </c>
      <c r="G7" s="12">
        <f t="shared" si="1"/>
        <v>0</v>
      </c>
      <c r="H7" s="13">
        <v>45984.0</v>
      </c>
      <c r="I7" s="14" t="s">
        <v>14</v>
      </c>
      <c r="J7" s="13">
        <v>45986.0</v>
      </c>
      <c r="K7" s="7" t="s">
        <v>16</v>
      </c>
      <c r="L7" s="17"/>
    </row>
    <row r="8">
      <c r="A8" s="7">
        <v>6.0</v>
      </c>
      <c r="B8" s="8">
        <v>9.0820203E8</v>
      </c>
      <c r="C8" s="9" t="s">
        <v>19</v>
      </c>
      <c r="D8" s="10">
        <v>2.8114209E7</v>
      </c>
      <c r="E8" s="16">
        <v>2.0</v>
      </c>
      <c r="F8" s="11">
        <v>2.0</v>
      </c>
      <c r="G8" s="12">
        <f t="shared" si="1"/>
        <v>0</v>
      </c>
      <c r="H8" s="13">
        <v>45984.0</v>
      </c>
      <c r="I8" s="14" t="s">
        <v>14</v>
      </c>
      <c r="J8" s="13">
        <v>45986.0</v>
      </c>
      <c r="K8" s="7" t="s">
        <v>16</v>
      </c>
      <c r="L8" s="17"/>
    </row>
    <row r="9">
      <c r="A9" s="7">
        <v>7.0</v>
      </c>
      <c r="B9" s="8">
        <v>9.08371014E8</v>
      </c>
      <c r="C9" s="9" t="s">
        <v>113</v>
      </c>
      <c r="D9" s="10">
        <v>2.8114209E7</v>
      </c>
      <c r="E9" s="16">
        <v>2.0</v>
      </c>
      <c r="F9" s="11">
        <v>2.0</v>
      </c>
      <c r="G9" s="12">
        <f t="shared" si="1"/>
        <v>0</v>
      </c>
      <c r="H9" s="13">
        <v>45984.0</v>
      </c>
      <c r="I9" s="14" t="s">
        <v>14</v>
      </c>
      <c r="J9" s="13">
        <v>45986.0</v>
      </c>
      <c r="K9" s="7" t="s">
        <v>16</v>
      </c>
      <c r="L9" s="17"/>
    </row>
    <row r="10">
      <c r="A10" s="7">
        <v>8.0</v>
      </c>
      <c r="B10" s="8">
        <v>9.08111101E8</v>
      </c>
      <c r="C10" s="9" t="s">
        <v>24</v>
      </c>
      <c r="D10" s="10"/>
      <c r="E10" s="16"/>
      <c r="F10" s="11">
        <v>6.0</v>
      </c>
      <c r="G10" s="12">
        <f t="shared" si="1"/>
        <v>-6</v>
      </c>
      <c r="H10" s="13"/>
      <c r="I10" s="14"/>
      <c r="J10" s="13">
        <v>45986.0</v>
      </c>
      <c r="K10" s="7" t="s">
        <v>16</v>
      </c>
      <c r="L10" s="17"/>
    </row>
    <row r="11">
      <c r="A11" s="7"/>
      <c r="B11" s="8">
        <v>9.08020201E8</v>
      </c>
      <c r="C11" s="9" t="s">
        <v>13</v>
      </c>
      <c r="D11" s="10">
        <v>2.8114209E7</v>
      </c>
      <c r="E11" s="16">
        <v>2.0</v>
      </c>
      <c r="F11" s="11"/>
      <c r="G11" s="12">
        <f t="shared" si="1"/>
        <v>2</v>
      </c>
      <c r="H11" s="13">
        <v>45985.0</v>
      </c>
      <c r="I11" s="14" t="s">
        <v>14</v>
      </c>
      <c r="J11" s="13"/>
      <c r="K11" s="7"/>
      <c r="L11" s="17"/>
    </row>
    <row r="12">
      <c r="A12" s="7"/>
      <c r="B12" s="8">
        <v>9.08202189E8</v>
      </c>
      <c r="C12" s="9" t="s">
        <v>55</v>
      </c>
      <c r="D12" s="10">
        <v>2.8114209E7</v>
      </c>
      <c r="E12" s="16">
        <v>2.0</v>
      </c>
      <c r="F12" s="11"/>
      <c r="G12" s="12">
        <f t="shared" si="1"/>
        <v>2</v>
      </c>
      <c r="H12" s="13">
        <v>45985.0</v>
      </c>
      <c r="I12" s="14" t="s">
        <v>14</v>
      </c>
      <c r="J12" s="13"/>
      <c r="K12" s="7"/>
      <c r="L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8.43"/>
    <col customWidth="1" min="13" max="26" width="8.71"/>
  </cols>
  <sheetData>
    <row r="1" ht="66.75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0.0" customHeight="1">
      <c r="A3" s="7">
        <v>1.0</v>
      </c>
      <c r="B3" s="20" t="s">
        <v>35</v>
      </c>
      <c r="C3" s="20" t="s">
        <v>36</v>
      </c>
      <c r="D3" s="7">
        <v>2.7887908E7</v>
      </c>
      <c r="E3" s="7">
        <v>4.0</v>
      </c>
      <c r="F3" s="11">
        <v>4.0</v>
      </c>
      <c r="G3" s="12">
        <f t="shared" ref="G3:G24" si="1">E3-F3</f>
        <v>0</v>
      </c>
      <c r="H3" s="21">
        <v>45949.0</v>
      </c>
      <c r="I3" s="9" t="s">
        <v>14</v>
      </c>
      <c r="J3" s="22">
        <v>46001.0</v>
      </c>
      <c r="K3" s="7" t="s">
        <v>76</v>
      </c>
      <c r="L3" s="9"/>
    </row>
    <row r="4" ht="30.0" customHeight="1">
      <c r="A4" s="7">
        <v>2.0</v>
      </c>
      <c r="B4" s="8">
        <v>9.08121008E8</v>
      </c>
      <c r="C4" s="9" t="s">
        <v>17</v>
      </c>
      <c r="D4" s="7">
        <v>2.7887908E7</v>
      </c>
      <c r="E4" s="7">
        <v>2.0</v>
      </c>
      <c r="F4" s="11">
        <v>1.0</v>
      </c>
      <c r="G4" s="12">
        <f t="shared" si="1"/>
        <v>1</v>
      </c>
      <c r="H4" s="21">
        <v>45949.0</v>
      </c>
      <c r="I4" s="9" t="s">
        <v>14</v>
      </c>
      <c r="J4" s="22">
        <v>46068.0</v>
      </c>
      <c r="K4" s="7" t="s">
        <v>76</v>
      </c>
      <c r="L4" s="9"/>
    </row>
    <row r="5" ht="30.0" customHeight="1">
      <c r="A5" s="7">
        <v>3.0</v>
      </c>
      <c r="B5" s="20">
        <v>9.05705538E8</v>
      </c>
      <c r="C5" s="20" t="s">
        <v>242</v>
      </c>
      <c r="D5" s="7">
        <v>2.7887908E7</v>
      </c>
      <c r="E5" s="7">
        <v>3.0</v>
      </c>
      <c r="F5" s="11"/>
      <c r="G5" s="12">
        <f t="shared" si="1"/>
        <v>3</v>
      </c>
      <c r="H5" s="21">
        <v>45949.0</v>
      </c>
      <c r="I5" s="9" t="s">
        <v>14</v>
      </c>
      <c r="J5" s="22"/>
      <c r="K5" s="7"/>
      <c r="L5" s="17"/>
    </row>
    <row r="6" ht="35.25" customHeight="1">
      <c r="A6" s="7">
        <v>4.0</v>
      </c>
      <c r="B6" s="23">
        <v>9.05727926E8</v>
      </c>
      <c r="C6" s="20" t="s">
        <v>243</v>
      </c>
      <c r="D6" s="7">
        <v>2.7887908E7</v>
      </c>
      <c r="E6" s="7">
        <v>6.0</v>
      </c>
      <c r="F6" s="11"/>
      <c r="G6" s="12">
        <f t="shared" si="1"/>
        <v>6</v>
      </c>
      <c r="H6" s="21">
        <v>45949.0</v>
      </c>
      <c r="I6" s="9" t="s">
        <v>14</v>
      </c>
      <c r="J6" s="22"/>
      <c r="K6" s="7"/>
      <c r="L6" s="17"/>
    </row>
    <row r="7" ht="38.25" customHeight="1">
      <c r="A7" s="7">
        <v>5.0</v>
      </c>
      <c r="B7" s="23">
        <v>9.05727977E8</v>
      </c>
      <c r="C7" s="20" t="s">
        <v>47</v>
      </c>
      <c r="D7" s="7">
        <v>2.7887908E7</v>
      </c>
      <c r="E7" s="7">
        <v>6.0</v>
      </c>
      <c r="F7" s="56"/>
      <c r="G7" s="12">
        <f t="shared" si="1"/>
        <v>6</v>
      </c>
      <c r="H7" s="21">
        <v>45949.0</v>
      </c>
      <c r="I7" s="9" t="s">
        <v>14</v>
      </c>
      <c r="J7" s="22"/>
      <c r="K7" s="17"/>
      <c r="L7" s="17"/>
    </row>
    <row r="8" ht="30.0" customHeight="1">
      <c r="A8" s="7">
        <v>6.0</v>
      </c>
      <c r="B8" s="20" t="s">
        <v>20</v>
      </c>
      <c r="C8" s="20" t="s">
        <v>21</v>
      </c>
      <c r="D8" s="7">
        <v>2.7887908E7</v>
      </c>
      <c r="E8" s="7">
        <v>4.0</v>
      </c>
      <c r="F8" s="11">
        <v>4.0</v>
      </c>
      <c r="G8" s="12">
        <f t="shared" si="1"/>
        <v>0</v>
      </c>
      <c r="H8" s="21">
        <v>45949.0</v>
      </c>
      <c r="I8" s="9" t="s">
        <v>14</v>
      </c>
      <c r="J8" s="22">
        <v>46001.0</v>
      </c>
      <c r="K8" s="7" t="s">
        <v>76</v>
      </c>
      <c r="L8" s="17"/>
    </row>
    <row r="9" ht="30.0" customHeight="1">
      <c r="A9" s="7">
        <v>7.0</v>
      </c>
      <c r="B9" s="23">
        <v>9.0812104E8</v>
      </c>
      <c r="C9" s="29" t="s">
        <v>66</v>
      </c>
      <c r="D9" s="7">
        <v>2.7887908E7</v>
      </c>
      <c r="E9" s="7">
        <v>2.0</v>
      </c>
      <c r="F9" s="11">
        <v>2.0</v>
      </c>
      <c r="G9" s="12">
        <f t="shared" si="1"/>
        <v>0</v>
      </c>
      <c r="H9" s="21">
        <v>45949.0</v>
      </c>
      <c r="I9" s="9" t="s">
        <v>14</v>
      </c>
      <c r="J9" s="22">
        <v>46001.0</v>
      </c>
      <c r="K9" s="7" t="s">
        <v>76</v>
      </c>
      <c r="L9" s="17"/>
    </row>
    <row r="10" ht="45.75" customHeight="1">
      <c r="A10" s="7">
        <v>8.0</v>
      </c>
      <c r="B10" s="23">
        <v>9.08121144E8</v>
      </c>
      <c r="C10" s="29" t="s">
        <v>66</v>
      </c>
      <c r="D10" s="7">
        <v>2.7887908E7</v>
      </c>
      <c r="E10" s="7">
        <f>2+1</f>
        <v>3</v>
      </c>
      <c r="F10" s="11">
        <v>6.0</v>
      </c>
      <c r="G10" s="12">
        <f t="shared" si="1"/>
        <v>-3</v>
      </c>
      <c r="H10" s="22" t="s">
        <v>244</v>
      </c>
      <c r="I10" s="9" t="s">
        <v>14</v>
      </c>
      <c r="J10" s="22">
        <v>46001.0</v>
      </c>
      <c r="K10" s="7" t="s">
        <v>76</v>
      </c>
      <c r="L10" s="57"/>
    </row>
    <row r="11" ht="33.75" customHeight="1">
      <c r="A11" s="7">
        <v>9.0</v>
      </c>
      <c r="B11" s="23">
        <v>9.08122038E8</v>
      </c>
      <c r="C11" s="20" t="s">
        <v>245</v>
      </c>
      <c r="D11" s="7">
        <v>2.7887908E7</v>
      </c>
      <c r="E11" s="7">
        <v>9.0</v>
      </c>
      <c r="F11" s="11"/>
      <c r="G11" s="12">
        <f t="shared" si="1"/>
        <v>9</v>
      </c>
      <c r="H11" s="21">
        <v>45949.0</v>
      </c>
      <c r="I11" s="9" t="s">
        <v>14</v>
      </c>
      <c r="J11" s="22"/>
      <c r="K11" s="7"/>
      <c r="L11" s="17"/>
    </row>
    <row r="12" ht="30.0" customHeight="1">
      <c r="A12" s="7">
        <v>10.0</v>
      </c>
      <c r="B12" s="20">
        <v>9.08371011E8</v>
      </c>
      <c r="C12" s="20" t="s">
        <v>246</v>
      </c>
      <c r="D12" s="7">
        <v>2.7887908E7</v>
      </c>
      <c r="E12" s="7">
        <v>1.0</v>
      </c>
      <c r="F12" s="11">
        <v>1.0</v>
      </c>
      <c r="G12" s="12">
        <f t="shared" si="1"/>
        <v>0</v>
      </c>
      <c r="H12" s="21">
        <v>45949.0</v>
      </c>
      <c r="I12" s="9" t="s">
        <v>14</v>
      </c>
      <c r="J12" s="22">
        <v>46001.0</v>
      </c>
      <c r="K12" s="7" t="s">
        <v>76</v>
      </c>
      <c r="L12" s="17"/>
    </row>
    <row r="13" ht="30.0" customHeight="1">
      <c r="A13" s="7">
        <v>11.0</v>
      </c>
      <c r="B13" s="20">
        <v>9.08421025E8</v>
      </c>
      <c r="C13" s="20" t="s">
        <v>247</v>
      </c>
      <c r="D13" s="7">
        <v>2.7887908E7</v>
      </c>
      <c r="E13" s="7">
        <v>1.0</v>
      </c>
      <c r="F13" s="11">
        <v>1.0</v>
      </c>
      <c r="G13" s="12">
        <f t="shared" si="1"/>
        <v>0</v>
      </c>
      <c r="H13" s="21">
        <v>45949.0</v>
      </c>
      <c r="I13" s="9" t="s">
        <v>14</v>
      </c>
      <c r="J13" s="22">
        <v>46001.0</v>
      </c>
      <c r="K13" s="7" t="s">
        <v>76</v>
      </c>
      <c r="L13" s="17"/>
    </row>
    <row r="14" ht="30.0" customHeight="1">
      <c r="A14" s="7">
        <v>12.0</v>
      </c>
      <c r="B14" s="20">
        <v>9.08111011E8</v>
      </c>
      <c r="C14" s="20" t="s">
        <v>248</v>
      </c>
      <c r="D14" s="7">
        <v>2.7887908E7</v>
      </c>
      <c r="E14" s="7">
        <v>12.0</v>
      </c>
      <c r="F14" s="11">
        <v>12.0</v>
      </c>
      <c r="G14" s="12">
        <f t="shared" si="1"/>
        <v>0</v>
      </c>
      <c r="H14" s="21">
        <v>45949.0</v>
      </c>
      <c r="I14" s="9" t="s">
        <v>14</v>
      </c>
      <c r="J14" s="22">
        <v>46001.0</v>
      </c>
      <c r="K14" s="7" t="s">
        <v>76</v>
      </c>
      <c r="L14" s="17"/>
    </row>
    <row r="15" ht="30.0" customHeight="1">
      <c r="A15" s="7">
        <v>13.0</v>
      </c>
      <c r="B15" s="20">
        <v>9.05727933E8</v>
      </c>
      <c r="C15" s="20" t="s">
        <v>243</v>
      </c>
      <c r="D15" s="7">
        <v>2.7887908E7</v>
      </c>
      <c r="E15" s="7">
        <v>3.0</v>
      </c>
      <c r="F15" s="11"/>
      <c r="G15" s="12">
        <f t="shared" si="1"/>
        <v>3</v>
      </c>
      <c r="H15" s="21">
        <v>45957.0</v>
      </c>
      <c r="I15" s="9" t="s">
        <v>14</v>
      </c>
      <c r="J15" s="22"/>
      <c r="K15" s="7"/>
      <c r="L15" s="17"/>
    </row>
    <row r="16" ht="30.0" customHeight="1">
      <c r="A16" s="7">
        <v>14.0</v>
      </c>
      <c r="B16" s="20">
        <v>9.05727935E8</v>
      </c>
      <c r="C16" s="20" t="s">
        <v>36</v>
      </c>
      <c r="D16" s="7">
        <v>2.7887908E7</v>
      </c>
      <c r="E16" s="7">
        <v>6.0</v>
      </c>
      <c r="F16" s="11"/>
      <c r="G16" s="12">
        <f t="shared" si="1"/>
        <v>6</v>
      </c>
      <c r="H16" s="21">
        <v>45957.0</v>
      </c>
      <c r="I16" s="9" t="s">
        <v>14</v>
      </c>
      <c r="J16" s="22"/>
      <c r="K16" s="7"/>
      <c r="L16" s="17"/>
    </row>
    <row r="17" ht="30.0" customHeight="1">
      <c r="A17" s="7">
        <v>15.0</v>
      </c>
      <c r="B17" s="20">
        <v>9.08020201E8</v>
      </c>
      <c r="C17" s="20" t="s">
        <v>13</v>
      </c>
      <c r="D17" s="7">
        <v>2.7887908E7</v>
      </c>
      <c r="E17" s="7">
        <v>2.0</v>
      </c>
      <c r="F17" s="11">
        <v>1.0</v>
      </c>
      <c r="G17" s="12">
        <f t="shared" si="1"/>
        <v>1</v>
      </c>
      <c r="H17" s="21">
        <v>45957.0</v>
      </c>
      <c r="I17" s="9" t="s">
        <v>14</v>
      </c>
      <c r="J17" s="22">
        <v>46002.0</v>
      </c>
      <c r="K17" s="7" t="s">
        <v>76</v>
      </c>
      <c r="L17" s="17"/>
    </row>
    <row r="18" ht="30.0" customHeight="1">
      <c r="A18" s="7">
        <v>16.0</v>
      </c>
      <c r="B18" s="20">
        <v>9.08202189E8</v>
      </c>
      <c r="C18" s="9" t="s">
        <v>55</v>
      </c>
      <c r="D18" s="7">
        <v>2.7887908E7</v>
      </c>
      <c r="E18" s="7">
        <v>12.0</v>
      </c>
      <c r="F18" s="11">
        <f>5+2</f>
        <v>7</v>
      </c>
      <c r="G18" s="12">
        <f t="shared" si="1"/>
        <v>5</v>
      </c>
      <c r="H18" s="21">
        <v>45957.0</v>
      </c>
      <c r="I18" s="9" t="s">
        <v>14</v>
      </c>
      <c r="J18" s="22">
        <v>46001.0</v>
      </c>
      <c r="K18" s="7" t="s">
        <v>76</v>
      </c>
      <c r="L18" s="17"/>
    </row>
    <row r="19" ht="30.0" customHeight="1">
      <c r="A19" s="7">
        <v>17.0</v>
      </c>
      <c r="B19" s="20">
        <v>9.05757809E8</v>
      </c>
      <c r="C19" s="9" t="s">
        <v>249</v>
      </c>
      <c r="D19" s="7">
        <v>2.7887908E7</v>
      </c>
      <c r="E19" s="7">
        <v>60.0</v>
      </c>
      <c r="F19" s="11">
        <v>46.0</v>
      </c>
      <c r="G19" s="12">
        <f t="shared" si="1"/>
        <v>14</v>
      </c>
      <c r="H19" s="21">
        <v>45959.0</v>
      </c>
      <c r="I19" s="9" t="s">
        <v>14</v>
      </c>
      <c r="J19" s="22">
        <v>46002.0</v>
      </c>
      <c r="K19" s="7" t="s">
        <v>76</v>
      </c>
      <c r="L19" s="17"/>
    </row>
    <row r="20" ht="30.0" customHeight="1">
      <c r="A20" s="7">
        <v>18.0</v>
      </c>
      <c r="B20" s="20">
        <v>9.08321104E8</v>
      </c>
      <c r="C20" s="9" t="s">
        <v>250</v>
      </c>
      <c r="D20" s="7">
        <v>2.7887908E7</v>
      </c>
      <c r="E20" s="7">
        <v>1.0</v>
      </c>
      <c r="F20" s="11">
        <v>1.0</v>
      </c>
      <c r="G20" s="12">
        <f t="shared" si="1"/>
        <v>0</v>
      </c>
      <c r="H20" s="21">
        <v>45992.0</v>
      </c>
      <c r="I20" s="9" t="s">
        <v>14</v>
      </c>
      <c r="J20" s="22">
        <v>46001.0</v>
      </c>
      <c r="K20" s="7" t="s">
        <v>76</v>
      </c>
      <c r="L20" s="17"/>
    </row>
    <row r="21" ht="30.0" customHeight="1">
      <c r="A21" s="7">
        <v>19.0</v>
      </c>
      <c r="B21" s="20">
        <v>9.08111102E8</v>
      </c>
      <c r="C21" s="9" t="s">
        <v>145</v>
      </c>
      <c r="D21" s="7"/>
      <c r="E21" s="7"/>
      <c r="F21" s="11">
        <v>20.0</v>
      </c>
      <c r="G21" s="12">
        <f t="shared" si="1"/>
        <v>-20</v>
      </c>
      <c r="H21" s="21"/>
      <c r="I21" s="9"/>
      <c r="J21" s="22">
        <v>46001.0</v>
      </c>
      <c r="K21" s="7" t="s">
        <v>76</v>
      </c>
      <c r="L21" s="17"/>
    </row>
    <row r="22" ht="30.0" customHeight="1">
      <c r="A22" s="7">
        <v>20.0</v>
      </c>
      <c r="B22" s="20" t="s">
        <v>25</v>
      </c>
      <c r="C22" s="9" t="s">
        <v>26</v>
      </c>
      <c r="D22" s="7"/>
      <c r="E22" s="7"/>
      <c r="F22" s="11">
        <v>17.0</v>
      </c>
      <c r="G22" s="12">
        <f t="shared" si="1"/>
        <v>-17</v>
      </c>
      <c r="H22" s="21"/>
      <c r="I22" s="9"/>
      <c r="J22" s="22">
        <v>46004.0</v>
      </c>
      <c r="K22" s="7" t="s">
        <v>76</v>
      </c>
      <c r="L22" s="17"/>
    </row>
    <row r="23" ht="30.0" customHeight="1">
      <c r="A23" s="7">
        <v>21.0</v>
      </c>
      <c r="B23" s="9">
        <v>9.0812201E8</v>
      </c>
      <c r="C23" s="9" t="s">
        <v>80</v>
      </c>
      <c r="D23" s="7"/>
      <c r="E23" s="7"/>
      <c r="F23" s="11">
        <v>12.0</v>
      </c>
      <c r="G23" s="12">
        <f t="shared" si="1"/>
        <v>-12</v>
      </c>
      <c r="H23" s="21"/>
      <c r="I23" s="9"/>
      <c r="J23" s="22">
        <v>46004.0</v>
      </c>
      <c r="K23" s="7" t="s">
        <v>76</v>
      </c>
      <c r="L23" s="17"/>
    </row>
    <row r="24" ht="30.0" customHeight="1">
      <c r="A24" s="7">
        <v>22.0</v>
      </c>
      <c r="B24" s="20">
        <v>9.05741282E8</v>
      </c>
      <c r="C24" s="9" t="s">
        <v>251</v>
      </c>
      <c r="D24" s="7">
        <v>2.7887908E7</v>
      </c>
      <c r="E24" s="7">
        <v>6.0</v>
      </c>
      <c r="F24" s="11"/>
      <c r="G24" s="12">
        <f t="shared" si="1"/>
        <v>6</v>
      </c>
      <c r="H24" s="21">
        <v>45949.0</v>
      </c>
      <c r="I24" s="9" t="s">
        <v>14</v>
      </c>
      <c r="J24" s="22"/>
      <c r="K24" s="7"/>
      <c r="L24" s="17"/>
    </row>
    <row r="25" ht="30.0" customHeight="1">
      <c r="A25" s="4" t="s">
        <v>1</v>
      </c>
      <c r="B25" s="5" t="s">
        <v>2</v>
      </c>
      <c r="C25" s="4" t="s">
        <v>252</v>
      </c>
      <c r="D25" s="4" t="s">
        <v>5</v>
      </c>
      <c r="E25" s="45" t="s">
        <v>11</v>
      </c>
      <c r="F25" s="27"/>
      <c r="G25" s="45" t="s">
        <v>8</v>
      </c>
      <c r="H25" s="32"/>
    </row>
    <row r="26" ht="30.0" customHeight="1">
      <c r="A26" s="7">
        <v>1.0</v>
      </c>
      <c r="B26" s="20">
        <v>9.05757809E8</v>
      </c>
      <c r="C26" s="20" t="s">
        <v>249</v>
      </c>
      <c r="D26" s="7">
        <f>5+5+5+8+8+8+1.6+1.5+0.8+0.8+0.6+0.7+0.7+0.7+0.7+0.7+0.7+1.2+1.2+1.1+1.5</f>
        <v>53.5</v>
      </c>
      <c r="E26" s="28" t="s">
        <v>76</v>
      </c>
      <c r="F26" s="27"/>
      <c r="G26" s="26">
        <v>46001.0</v>
      </c>
      <c r="H26" s="27"/>
    </row>
    <row r="27" ht="30.0" customHeight="1">
      <c r="A27" s="7"/>
      <c r="B27" s="48"/>
      <c r="C27" s="7"/>
      <c r="D27" s="7"/>
      <c r="E27" s="28"/>
      <c r="F27" s="27"/>
      <c r="G27" s="28"/>
      <c r="H27" s="27"/>
    </row>
    <row r="28" ht="30.0" customHeight="1"/>
    <row r="29" ht="30.0" customHeight="1"/>
    <row r="30" ht="30.0" customHeight="1"/>
    <row r="31" ht="30.0" customHeight="1">
      <c r="A31" s="58" t="s">
        <v>1</v>
      </c>
      <c r="B31" s="59" t="s">
        <v>2</v>
      </c>
      <c r="C31" s="58" t="s">
        <v>253</v>
      </c>
      <c r="D31" s="58" t="s">
        <v>5</v>
      </c>
      <c r="E31" s="60" t="s">
        <v>11</v>
      </c>
      <c r="F31" s="27"/>
      <c r="G31" s="60" t="s">
        <v>8</v>
      </c>
      <c r="H31" s="32"/>
    </row>
    <row r="32" ht="30.0" customHeight="1">
      <c r="A32" s="7">
        <v>1.0</v>
      </c>
      <c r="B32" s="20">
        <v>9.05757809E8</v>
      </c>
      <c r="C32" s="20" t="s">
        <v>249</v>
      </c>
      <c r="D32" s="7">
        <f>3.9+2.9+2.5+3+0.8+0.8+0.6+1.9+1.9+1.8</f>
        <v>20.1</v>
      </c>
      <c r="E32" s="28" t="s">
        <v>76</v>
      </c>
      <c r="F32" s="27"/>
      <c r="G32" s="26">
        <v>46002.0</v>
      </c>
      <c r="H32" s="27"/>
    </row>
    <row r="33" ht="30.0" customHeight="1">
      <c r="A33" s="7"/>
      <c r="B33" s="20"/>
      <c r="C33" s="20"/>
      <c r="D33" s="7"/>
      <c r="E33" s="28"/>
      <c r="F33" s="27"/>
      <c r="G33" s="26"/>
      <c r="H33" s="27"/>
    </row>
    <row r="34" ht="30.0" customHeight="1">
      <c r="A34" s="7"/>
      <c r="B34" s="20"/>
      <c r="C34" s="20"/>
      <c r="D34" s="7"/>
      <c r="E34" s="28"/>
      <c r="F34" s="27"/>
      <c r="G34" s="26"/>
      <c r="H34" s="27"/>
    </row>
    <row r="35" ht="30.0" customHeight="1">
      <c r="A35" s="58" t="s">
        <v>1</v>
      </c>
      <c r="B35" s="59" t="s">
        <v>2</v>
      </c>
      <c r="C35" s="58" t="s">
        <v>254</v>
      </c>
      <c r="D35" s="58" t="s">
        <v>5</v>
      </c>
      <c r="E35" s="60" t="s">
        <v>11</v>
      </c>
      <c r="F35" s="27"/>
      <c r="G35" s="60" t="s">
        <v>8</v>
      </c>
      <c r="H35" s="32"/>
    </row>
    <row r="36" ht="30.0" customHeight="1">
      <c r="A36" s="7">
        <v>1.0</v>
      </c>
      <c r="B36" s="20"/>
      <c r="C36" s="20" t="s">
        <v>57</v>
      </c>
      <c r="D36" s="7">
        <f>11+11+10</f>
        <v>32</v>
      </c>
      <c r="E36" s="28" t="s">
        <v>76</v>
      </c>
      <c r="F36" s="27"/>
      <c r="G36" s="26">
        <v>46002.0</v>
      </c>
      <c r="H36" s="27"/>
    </row>
    <row r="37" ht="30.0" customHeight="1">
      <c r="A37" s="7"/>
      <c r="B37" s="20"/>
      <c r="C37" s="20"/>
      <c r="D37" s="7"/>
      <c r="E37" s="28"/>
      <c r="F37" s="27"/>
      <c r="G37" s="26"/>
      <c r="H37" s="27"/>
    </row>
    <row r="38" ht="30.0" customHeight="1">
      <c r="A38" s="7"/>
      <c r="B38" s="20"/>
      <c r="C38" s="20"/>
      <c r="D38" s="7"/>
      <c r="E38" s="28"/>
      <c r="F38" s="27"/>
      <c r="G38" s="26"/>
      <c r="H38" s="27"/>
    </row>
    <row r="39" ht="30.0" customHeight="1">
      <c r="A39" s="61" t="s">
        <v>1</v>
      </c>
      <c r="B39" s="62" t="s">
        <v>2</v>
      </c>
      <c r="C39" s="61" t="s">
        <v>255</v>
      </c>
      <c r="D39" s="61" t="s">
        <v>5</v>
      </c>
      <c r="E39" s="63" t="s">
        <v>11</v>
      </c>
      <c r="F39" s="27"/>
      <c r="G39" s="63" t="s">
        <v>8</v>
      </c>
      <c r="H39" s="32"/>
    </row>
    <row r="40" ht="30.0" customHeight="1">
      <c r="A40" s="7">
        <v>1.0</v>
      </c>
      <c r="B40" s="20" t="s">
        <v>176</v>
      </c>
      <c r="C40" s="20" t="s">
        <v>256</v>
      </c>
      <c r="D40" s="7">
        <v>1.0</v>
      </c>
      <c r="E40" s="28" t="s">
        <v>76</v>
      </c>
      <c r="F40" s="27"/>
      <c r="G40" s="26">
        <v>46001.0</v>
      </c>
      <c r="H40" s="27"/>
    </row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27">
    <mergeCell ref="A1:L1"/>
    <mergeCell ref="E25:F25"/>
    <mergeCell ref="G25:H25"/>
    <mergeCell ref="E26:F26"/>
    <mergeCell ref="G26:H26"/>
    <mergeCell ref="E27:F27"/>
    <mergeCell ref="G27:H27"/>
    <mergeCell ref="E34:F34"/>
    <mergeCell ref="E35:F35"/>
    <mergeCell ref="E36:F36"/>
    <mergeCell ref="E37:F37"/>
    <mergeCell ref="E38:F38"/>
    <mergeCell ref="E39:F39"/>
    <mergeCell ref="E40:F40"/>
    <mergeCell ref="G35:H35"/>
    <mergeCell ref="G36:H36"/>
    <mergeCell ref="G37:H37"/>
    <mergeCell ref="G38:H38"/>
    <mergeCell ref="G39:H39"/>
    <mergeCell ref="G40:H40"/>
    <mergeCell ref="E31:F31"/>
    <mergeCell ref="G31:H31"/>
    <mergeCell ref="E32:F32"/>
    <mergeCell ref="G32:H32"/>
    <mergeCell ref="E33:F33"/>
    <mergeCell ref="G33:H33"/>
    <mergeCell ref="G34:H34"/>
  </mergeCells>
  <printOptions/>
  <pageMargins bottom="0.75" footer="0.0" header="0.0" left="0.7" right="0.7" top="0.75"/>
  <pageSetup scale="2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2.7849386E7</v>
      </c>
      <c r="E3" s="16">
        <v>2.0</v>
      </c>
      <c r="F3" s="11">
        <v>2.0</v>
      </c>
      <c r="G3" s="12">
        <f t="shared" ref="G3:G10" si="1">E3-F3</f>
        <v>0</v>
      </c>
      <c r="H3" s="13">
        <v>45938.0</v>
      </c>
      <c r="I3" s="14" t="s">
        <v>14</v>
      </c>
      <c r="J3" s="13">
        <v>45945.0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2.7849386E7</v>
      </c>
      <c r="E4" s="16">
        <v>2.0</v>
      </c>
      <c r="F4" s="11">
        <f>1+1</f>
        <v>2</v>
      </c>
      <c r="G4" s="12">
        <f t="shared" si="1"/>
        <v>0</v>
      </c>
      <c r="H4" s="13">
        <v>45938.0</v>
      </c>
      <c r="I4" s="14" t="s">
        <v>14</v>
      </c>
      <c r="J4" s="13" t="s">
        <v>258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2.7849386E7</v>
      </c>
      <c r="E5" s="16">
        <v>3.0</v>
      </c>
      <c r="F5" s="11">
        <v>3.0</v>
      </c>
      <c r="G5" s="12">
        <f t="shared" si="1"/>
        <v>0</v>
      </c>
      <c r="H5" s="13">
        <v>45938.0</v>
      </c>
      <c r="I5" s="14" t="s">
        <v>14</v>
      </c>
      <c r="J5" s="13">
        <v>45958.0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2.7849386E7</v>
      </c>
      <c r="E6" s="16">
        <v>2.0</v>
      </c>
      <c r="F6" s="11">
        <v>2.0</v>
      </c>
      <c r="G6" s="12">
        <f t="shared" si="1"/>
        <v>0</v>
      </c>
      <c r="H6" s="13">
        <v>45938.0</v>
      </c>
      <c r="I6" s="14" t="s">
        <v>14</v>
      </c>
      <c r="J6" s="13">
        <v>45945.0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2.7849386E7</v>
      </c>
      <c r="E7" s="16">
        <v>2.0</v>
      </c>
      <c r="F7" s="11">
        <v>2.0</v>
      </c>
      <c r="G7" s="12">
        <f t="shared" si="1"/>
        <v>0</v>
      </c>
      <c r="H7" s="13">
        <v>45938.0</v>
      </c>
      <c r="I7" s="14" t="s">
        <v>14</v>
      </c>
      <c r="J7" s="13">
        <v>45945.0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10">
        <v>2.7849386E7</v>
      </c>
      <c r="E8" s="16">
        <v>1.0</v>
      </c>
      <c r="F8" s="11"/>
      <c r="G8" s="12">
        <f t="shared" si="1"/>
        <v>1</v>
      </c>
      <c r="H8" s="13">
        <v>45939.0</v>
      </c>
      <c r="I8" s="14" t="s">
        <v>14</v>
      </c>
      <c r="J8" s="13">
        <v>45945.0</v>
      </c>
      <c r="K8" s="7" t="s">
        <v>16</v>
      </c>
      <c r="L8" s="17"/>
    </row>
    <row r="9">
      <c r="A9" s="7">
        <v>7.0</v>
      </c>
      <c r="B9" s="19" t="s">
        <v>103</v>
      </c>
      <c r="C9" s="20" t="s">
        <v>104</v>
      </c>
      <c r="D9" s="10">
        <v>2.7849386E7</v>
      </c>
      <c r="E9" s="16">
        <v>1.0</v>
      </c>
      <c r="F9" s="11">
        <v>1.0</v>
      </c>
      <c r="G9" s="12">
        <f t="shared" si="1"/>
        <v>0</v>
      </c>
      <c r="H9" s="13">
        <v>45939.0</v>
      </c>
      <c r="I9" s="14" t="s">
        <v>14</v>
      </c>
      <c r="J9" s="13">
        <v>45945.0</v>
      </c>
      <c r="K9" s="7" t="s">
        <v>16</v>
      </c>
      <c r="L9" s="17"/>
    </row>
    <row r="10">
      <c r="A10" s="7">
        <v>8.0</v>
      </c>
      <c r="B10" s="8">
        <v>9.08202098E8</v>
      </c>
      <c r="C10" s="9" t="s">
        <v>22</v>
      </c>
      <c r="D10" s="10">
        <v>2.7849386E7</v>
      </c>
      <c r="E10" s="16">
        <v>2.0</v>
      </c>
      <c r="F10" s="11">
        <v>6.0</v>
      </c>
      <c r="G10" s="12">
        <f t="shared" si="1"/>
        <v>-4</v>
      </c>
      <c r="H10" s="13">
        <v>45939.0</v>
      </c>
      <c r="I10" s="14" t="s">
        <v>14</v>
      </c>
      <c r="J10" s="13">
        <v>45945.0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/>
      <c r="E11" s="16"/>
      <c r="F11" s="11">
        <v>36.0</v>
      </c>
      <c r="G11" s="12"/>
      <c r="H11" s="13"/>
      <c r="I11" s="14"/>
      <c r="J11" s="13">
        <v>45945.0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/>
      <c r="E12" s="16"/>
      <c r="F12" s="11">
        <v>56.0</v>
      </c>
      <c r="G12" s="12"/>
      <c r="H12" s="13"/>
      <c r="I12" s="14"/>
      <c r="J12" s="13">
        <v>45945.0</v>
      </c>
      <c r="K12" s="7" t="s">
        <v>16</v>
      </c>
      <c r="L12" s="17"/>
    </row>
    <row r="13">
      <c r="A13" s="7">
        <v>11.0</v>
      </c>
      <c r="B13" s="8">
        <v>9.08111101E8</v>
      </c>
      <c r="C13" s="9" t="s">
        <v>24</v>
      </c>
      <c r="D13" s="10"/>
      <c r="E13" s="16"/>
      <c r="F13" s="11">
        <v>6.0</v>
      </c>
      <c r="G13" s="12"/>
      <c r="H13" s="13"/>
      <c r="I13" s="14"/>
      <c r="J13" s="13">
        <v>45945.0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2.7849317E7</v>
      </c>
      <c r="E3" s="16">
        <v>2.0</v>
      </c>
      <c r="F3" s="11">
        <v>2.0</v>
      </c>
      <c r="G3" s="12">
        <f t="shared" ref="G3:G18" si="1">E3-F3</f>
        <v>0</v>
      </c>
      <c r="H3" s="13">
        <v>45938.0</v>
      </c>
      <c r="I3" s="14" t="s">
        <v>14</v>
      </c>
      <c r="J3" s="13">
        <v>45967.0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2.7849317E7</v>
      </c>
      <c r="E4" s="16">
        <v>2.0</v>
      </c>
      <c r="F4" s="11">
        <f>1+1</f>
        <v>2</v>
      </c>
      <c r="G4" s="12">
        <f t="shared" si="1"/>
        <v>0</v>
      </c>
      <c r="H4" s="13">
        <v>45938.0</v>
      </c>
      <c r="I4" s="14" t="s">
        <v>14</v>
      </c>
      <c r="J4" s="13" t="s">
        <v>260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2.7849317E7</v>
      </c>
      <c r="E5" s="16">
        <v>3.0</v>
      </c>
      <c r="F5" s="11">
        <v>3.0</v>
      </c>
      <c r="G5" s="12">
        <f t="shared" si="1"/>
        <v>0</v>
      </c>
      <c r="H5" s="13">
        <v>45938.0</v>
      </c>
      <c r="I5" s="14" t="s">
        <v>14</v>
      </c>
      <c r="J5" s="13">
        <v>45976.0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39" t="s">
        <v>261</v>
      </c>
      <c r="E6" s="16">
        <f t="shared" ref="E6:F6" si="2">2+2</f>
        <v>4</v>
      </c>
      <c r="F6" s="11">
        <f t="shared" si="2"/>
        <v>4</v>
      </c>
      <c r="G6" s="12">
        <f t="shared" si="1"/>
        <v>0</v>
      </c>
      <c r="H6" s="13" t="s">
        <v>262</v>
      </c>
      <c r="I6" s="14" t="s">
        <v>14</v>
      </c>
      <c r="J6" s="13" t="s">
        <v>263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39" t="s">
        <v>261</v>
      </c>
      <c r="E7" s="16">
        <f t="shared" ref="E7:F7" si="3">2+2</f>
        <v>4</v>
      </c>
      <c r="F7" s="11">
        <f t="shared" si="3"/>
        <v>4</v>
      </c>
      <c r="G7" s="12">
        <f t="shared" si="1"/>
        <v>0</v>
      </c>
      <c r="H7" s="13" t="s">
        <v>262</v>
      </c>
      <c r="I7" s="14" t="s">
        <v>14</v>
      </c>
      <c r="J7" s="13" t="s">
        <v>263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39" t="s">
        <v>261</v>
      </c>
      <c r="E8" s="16">
        <f>1+1</f>
        <v>2</v>
      </c>
      <c r="F8" s="11"/>
      <c r="G8" s="12">
        <f t="shared" si="1"/>
        <v>2</v>
      </c>
      <c r="H8" s="13" t="s">
        <v>264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2.7849317E7</v>
      </c>
      <c r="E9" s="16">
        <v>1.0</v>
      </c>
      <c r="F9" s="11">
        <v>1.0</v>
      </c>
      <c r="G9" s="12">
        <f t="shared" si="1"/>
        <v>0</v>
      </c>
      <c r="H9" s="13">
        <v>45939.0</v>
      </c>
      <c r="I9" s="14" t="s">
        <v>14</v>
      </c>
      <c r="J9" s="13">
        <v>45967.0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2.7849317E7</v>
      </c>
      <c r="E10" s="16">
        <v>2.0</v>
      </c>
      <c r="F10" s="11">
        <v>6.0</v>
      </c>
      <c r="G10" s="12">
        <f t="shared" si="1"/>
        <v>-4</v>
      </c>
      <c r="H10" s="13">
        <v>45939.0</v>
      </c>
      <c r="I10" s="14" t="s">
        <v>14</v>
      </c>
      <c r="J10" s="13">
        <v>45967.0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/>
      <c r="E11" s="16"/>
      <c r="F11" s="11">
        <v>18.0</v>
      </c>
      <c r="G11" s="12">
        <f t="shared" si="1"/>
        <v>-18</v>
      </c>
      <c r="H11" s="13"/>
      <c r="I11" s="14"/>
      <c r="J11" s="13">
        <v>45967.0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/>
      <c r="E12" s="16"/>
      <c r="F12" s="11">
        <v>80.0</v>
      </c>
      <c r="G12" s="12">
        <f t="shared" si="1"/>
        <v>-80</v>
      </c>
      <c r="H12" s="13"/>
      <c r="I12" s="14"/>
      <c r="J12" s="13">
        <v>45967.0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/>
      <c r="E13" s="16"/>
      <c r="F13" s="11">
        <f>6+6</f>
        <v>12</v>
      </c>
      <c r="G13" s="12">
        <f t="shared" si="1"/>
        <v>-12</v>
      </c>
      <c r="H13" s="13"/>
      <c r="I13" s="14"/>
      <c r="J13" s="13" t="s">
        <v>263</v>
      </c>
      <c r="K13" s="7" t="s">
        <v>16</v>
      </c>
      <c r="L13" s="17"/>
    </row>
    <row r="14">
      <c r="A14" s="7">
        <v>12.0</v>
      </c>
      <c r="B14" s="19">
        <v>9.08202189E8</v>
      </c>
      <c r="C14" s="20" t="s">
        <v>55</v>
      </c>
      <c r="D14" s="10">
        <v>2.8255946E7</v>
      </c>
      <c r="E14" s="16">
        <v>2.0</v>
      </c>
      <c r="F14" s="11">
        <v>2.0</v>
      </c>
      <c r="G14" s="12">
        <f t="shared" si="1"/>
        <v>0</v>
      </c>
      <c r="H14" s="13">
        <v>46014.0</v>
      </c>
      <c r="I14" s="14" t="s">
        <v>14</v>
      </c>
      <c r="J14" s="13">
        <v>46015.0</v>
      </c>
      <c r="K14" s="7" t="s">
        <v>16</v>
      </c>
      <c r="L14" s="17"/>
    </row>
    <row r="15">
      <c r="A15" s="7">
        <v>13.0</v>
      </c>
      <c r="B15" s="19">
        <v>9.08402208E8</v>
      </c>
      <c r="C15" s="20" t="s">
        <v>111</v>
      </c>
      <c r="D15" s="10">
        <v>2.8255946E7</v>
      </c>
      <c r="E15" s="16">
        <v>5.0</v>
      </c>
      <c r="F15" s="11">
        <v>5.0</v>
      </c>
      <c r="G15" s="12">
        <f t="shared" si="1"/>
        <v>0</v>
      </c>
      <c r="H15" s="13">
        <v>46014.0</v>
      </c>
      <c r="I15" s="14" t="s">
        <v>14</v>
      </c>
      <c r="J15" s="13">
        <v>46015.0</v>
      </c>
      <c r="K15" s="7" t="s">
        <v>16</v>
      </c>
      <c r="L15" s="17"/>
    </row>
    <row r="16">
      <c r="A16" s="7">
        <v>14.0</v>
      </c>
      <c r="B16" s="19">
        <v>9.08371012E8</v>
      </c>
      <c r="C16" s="20" t="s">
        <v>121</v>
      </c>
      <c r="D16" s="10">
        <v>2.8255946E7</v>
      </c>
      <c r="E16" s="16">
        <v>5.0</v>
      </c>
      <c r="F16" s="11">
        <v>5.0</v>
      </c>
      <c r="G16" s="12">
        <f t="shared" si="1"/>
        <v>0</v>
      </c>
      <c r="H16" s="13">
        <v>46014.0</v>
      </c>
      <c r="I16" s="14" t="s">
        <v>14</v>
      </c>
      <c r="J16" s="13">
        <v>46015.0</v>
      </c>
      <c r="K16" s="7" t="s">
        <v>16</v>
      </c>
      <c r="L16" s="17"/>
    </row>
    <row r="17">
      <c r="A17" s="7">
        <v>15.0</v>
      </c>
      <c r="B17" s="8">
        <v>9.08421025E8</v>
      </c>
      <c r="C17" s="9" t="s">
        <v>112</v>
      </c>
      <c r="D17" s="10">
        <v>2.8255946E7</v>
      </c>
      <c r="E17" s="16">
        <v>1.0</v>
      </c>
      <c r="F17" s="11">
        <v>1.0</v>
      </c>
      <c r="G17" s="12">
        <f t="shared" si="1"/>
        <v>0</v>
      </c>
      <c r="H17" s="13">
        <v>46014.0</v>
      </c>
      <c r="I17" s="14" t="s">
        <v>14</v>
      </c>
      <c r="J17" s="13">
        <v>46015.0</v>
      </c>
      <c r="K17" s="7" t="s">
        <v>16</v>
      </c>
      <c r="L17" s="17"/>
    </row>
    <row r="18">
      <c r="A18" s="7">
        <v>16.0</v>
      </c>
      <c r="B18" s="8">
        <v>9.08421031E8</v>
      </c>
      <c r="C18" s="9" t="s">
        <v>122</v>
      </c>
      <c r="D18" s="10">
        <v>2.8395329E7</v>
      </c>
      <c r="E18" s="16">
        <v>2.0</v>
      </c>
      <c r="F18" s="11">
        <v>2.0</v>
      </c>
      <c r="G18" s="12">
        <f t="shared" si="1"/>
        <v>0</v>
      </c>
      <c r="H18" s="13">
        <v>46134.0</v>
      </c>
      <c r="I18" s="14" t="s">
        <v>14</v>
      </c>
      <c r="J18" s="13">
        <v>46015.0</v>
      </c>
      <c r="K18" s="7" t="s">
        <v>16</v>
      </c>
      <c r="L18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2.7849252E7</v>
      </c>
      <c r="E3" s="16">
        <v>2.0</v>
      </c>
      <c r="F3" s="11">
        <v>2.0</v>
      </c>
      <c r="G3" s="12">
        <f t="shared" ref="G3:G12" si="1">E3-F3</f>
        <v>0</v>
      </c>
      <c r="H3" s="13">
        <v>45938.0</v>
      </c>
      <c r="I3" s="14" t="s">
        <v>14</v>
      </c>
      <c r="J3" s="13">
        <v>45969.0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2.7849252E7</v>
      </c>
      <c r="E4" s="16">
        <v>2.0</v>
      </c>
      <c r="F4" s="11">
        <f>1+1</f>
        <v>2</v>
      </c>
      <c r="G4" s="12">
        <f t="shared" si="1"/>
        <v>0</v>
      </c>
      <c r="H4" s="13">
        <v>45938.0</v>
      </c>
      <c r="I4" s="14" t="s">
        <v>14</v>
      </c>
      <c r="J4" s="13" t="s">
        <v>266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2.7849252E7</v>
      </c>
      <c r="E5" s="16">
        <v>3.0</v>
      </c>
      <c r="F5" s="11">
        <v>3.0</v>
      </c>
      <c r="G5" s="12">
        <f t="shared" si="1"/>
        <v>0</v>
      </c>
      <c r="H5" s="13">
        <v>45938.0</v>
      </c>
      <c r="I5" s="14" t="s">
        <v>14</v>
      </c>
      <c r="J5" s="13">
        <v>45976.0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2.7849252E7</v>
      </c>
      <c r="E6" s="16">
        <v>2.0</v>
      </c>
      <c r="F6" s="11">
        <v>2.0</v>
      </c>
      <c r="G6" s="12">
        <f t="shared" si="1"/>
        <v>0</v>
      </c>
      <c r="H6" s="13">
        <v>45938.0</v>
      </c>
      <c r="I6" s="14" t="s">
        <v>14</v>
      </c>
      <c r="J6" s="13">
        <v>45969.0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2.7849252E7</v>
      </c>
      <c r="E7" s="16">
        <v>2.0</v>
      </c>
      <c r="F7" s="11">
        <v>2.0</v>
      </c>
      <c r="G7" s="12">
        <f t="shared" si="1"/>
        <v>0</v>
      </c>
      <c r="H7" s="13">
        <v>45938.0</v>
      </c>
      <c r="I7" s="14" t="s">
        <v>14</v>
      </c>
      <c r="J7" s="13">
        <v>45969.0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10">
        <v>2.7849252E7</v>
      </c>
      <c r="E8" s="16">
        <v>1.0</v>
      </c>
      <c r="F8" s="11"/>
      <c r="G8" s="12">
        <f t="shared" si="1"/>
        <v>1</v>
      </c>
      <c r="H8" s="13">
        <v>45939.0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2.7849252E7</v>
      </c>
      <c r="E9" s="16">
        <v>1.0</v>
      </c>
      <c r="F9" s="11">
        <v>1.0</v>
      </c>
      <c r="G9" s="12">
        <f t="shared" si="1"/>
        <v>0</v>
      </c>
      <c r="H9" s="13">
        <v>45939.0</v>
      </c>
      <c r="I9" s="14" t="s">
        <v>14</v>
      </c>
      <c r="J9" s="13">
        <v>45969.0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2.7849252E7</v>
      </c>
      <c r="E10" s="16">
        <v>2.0</v>
      </c>
      <c r="F10" s="11">
        <v>6.0</v>
      </c>
      <c r="G10" s="12">
        <f t="shared" si="1"/>
        <v>-4</v>
      </c>
      <c r="H10" s="13">
        <v>45939.0</v>
      </c>
      <c r="I10" s="14" t="s">
        <v>14</v>
      </c>
      <c r="J10" s="13">
        <v>45969.0</v>
      </c>
      <c r="K10" s="7" t="s">
        <v>16</v>
      </c>
      <c r="L10" s="17"/>
    </row>
    <row r="11">
      <c r="A11" s="7">
        <v>9.0</v>
      </c>
      <c r="B11" s="19" t="s">
        <v>25</v>
      </c>
      <c r="C11" s="20" t="s">
        <v>26</v>
      </c>
      <c r="D11" s="10"/>
      <c r="E11" s="16">
        <v>17.0</v>
      </c>
      <c r="F11" s="11">
        <v>18.0</v>
      </c>
      <c r="G11" s="12">
        <f t="shared" si="1"/>
        <v>-1</v>
      </c>
      <c r="H11" s="13"/>
      <c r="I11" s="14"/>
      <c r="J11" s="13">
        <v>45969.0</v>
      </c>
      <c r="K11" s="7" t="s">
        <v>16</v>
      </c>
      <c r="L11" s="17"/>
    </row>
    <row r="12">
      <c r="A12" s="7">
        <v>10.0</v>
      </c>
      <c r="B12" s="19" t="s">
        <v>27</v>
      </c>
      <c r="C12" s="20" t="s">
        <v>28</v>
      </c>
      <c r="D12" s="10"/>
      <c r="E12" s="16">
        <v>102.0</v>
      </c>
      <c r="F12" s="11">
        <v>104.0</v>
      </c>
      <c r="G12" s="12">
        <f t="shared" si="1"/>
        <v>-2</v>
      </c>
      <c r="H12" s="13"/>
      <c r="I12" s="14"/>
      <c r="J12" s="13">
        <v>45969.0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/>
      <c r="E13" s="16"/>
      <c r="F13" s="11">
        <v>6.0</v>
      </c>
      <c r="G13" s="12"/>
      <c r="H13" s="13"/>
      <c r="I13" s="14"/>
      <c r="J13" s="13">
        <v>45969.0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2.7837107E7</v>
      </c>
      <c r="E3" s="16">
        <v>2.0</v>
      </c>
      <c r="F3" s="11">
        <v>2.0</v>
      </c>
      <c r="G3" s="12">
        <f t="shared" ref="G3:G20" si="1">E3-F3</f>
        <v>0</v>
      </c>
      <c r="H3" s="13">
        <v>45938.0</v>
      </c>
      <c r="I3" s="14" t="s">
        <v>14</v>
      </c>
      <c r="J3" s="13">
        <v>45944.0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2.7837107E7</v>
      </c>
      <c r="E4" s="16">
        <v>2.0</v>
      </c>
      <c r="F4" s="11">
        <f>1+1</f>
        <v>2</v>
      </c>
      <c r="G4" s="12">
        <f t="shared" si="1"/>
        <v>0</v>
      </c>
      <c r="H4" s="13">
        <v>45938.0</v>
      </c>
      <c r="I4" s="14" t="s">
        <v>14</v>
      </c>
      <c r="J4" s="13" t="s">
        <v>268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2.7837107E7</v>
      </c>
      <c r="E5" s="16">
        <v>3.0</v>
      </c>
      <c r="F5" s="11">
        <v>3.0</v>
      </c>
      <c r="G5" s="12">
        <f t="shared" si="1"/>
        <v>0</v>
      </c>
      <c r="H5" s="13">
        <v>45938.0</v>
      </c>
      <c r="I5" s="14" t="s">
        <v>14</v>
      </c>
      <c r="J5" s="13">
        <v>45957.0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2.7837107E7</v>
      </c>
      <c r="E6" s="16">
        <v>2.0</v>
      </c>
      <c r="F6" s="11">
        <v>2.0</v>
      </c>
      <c r="G6" s="12">
        <f t="shared" si="1"/>
        <v>0</v>
      </c>
      <c r="H6" s="13">
        <v>45938.0</v>
      </c>
      <c r="I6" s="14" t="s">
        <v>14</v>
      </c>
      <c r="J6" s="13">
        <v>45944.0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2.7837107E7</v>
      </c>
      <c r="E7" s="16">
        <v>2.0</v>
      </c>
      <c r="F7" s="11">
        <v>2.0</v>
      </c>
      <c r="G7" s="12">
        <f t="shared" si="1"/>
        <v>0</v>
      </c>
      <c r="H7" s="13">
        <v>45938.0</v>
      </c>
      <c r="I7" s="14" t="s">
        <v>14</v>
      </c>
      <c r="J7" s="13">
        <v>45944.0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10">
        <v>2.7837107E7</v>
      </c>
      <c r="E8" s="16">
        <f>1+1</f>
        <v>2</v>
      </c>
      <c r="F8" s="11"/>
      <c r="G8" s="12">
        <f t="shared" si="1"/>
        <v>2</v>
      </c>
      <c r="H8" s="13" t="s">
        <v>269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2.7837107E7</v>
      </c>
      <c r="E9" s="16">
        <v>1.0</v>
      </c>
      <c r="F9" s="11">
        <v>1.0</v>
      </c>
      <c r="G9" s="12">
        <f t="shared" si="1"/>
        <v>0</v>
      </c>
      <c r="H9" s="13">
        <v>45939.0</v>
      </c>
      <c r="I9" s="14" t="s">
        <v>14</v>
      </c>
      <c r="J9" s="13">
        <v>45944.0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2.7837107E7</v>
      </c>
      <c r="E10" s="16">
        <v>2.0</v>
      </c>
      <c r="F10" s="11">
        <v>6.0</v>
      </c>
      <c r="G10" s="12">
        <f t="shared" si="1"/>
        <v>-4</v>
      </c>
      <c r="H10" s="13">
        <v>45939.0</v>
      </c>
      <c r="I10" s="14" t="s">
        <v>14</v>
      </c>
      <c r="J10" s="13">
        <v>45944.0</v>
      </c>
      <c r="K10" s="7" t="s">
        <v>16</v>
      </c>
      <c r="L10" s="17"/>
    </row>
    <row r="11">
      <c r="A11" s="7">
        <v>9.0</v>
      </c>
      <c r="B11" s="19" t="s">
        <v>25</v>
      </c>
      <c r="C11" s="20" t="s">
        <v>26</v>
      </c>
      <c r="D11" s="10"/>
      <c r="E11" s="16"/>
      <c r="F11" s="11">
        <v>17.0</v>
      </c>
      <c r="G11" s="12">
        <f t="shared" si="1"/>
        <v>-17</v>
      </c>
      <c r="H11" s="13"/>
      <c r="I11" s="14" t="s">
        <v>14</v>
      </c>
      <c r="J11" s="13">
        <v>45944.0</v>
      </c>
      <c r="K11" s="7" t="s">
        <v>16</v>
      </c>
      <c r="L11" s="17"/>
    </row>
    <row r="12">
      <c r="A12" s="7">
        <v>10.0</v>
      </c>
      <c r="B12" s="19" t="s">
        <v>27</v>
      </c>
      <c r="C12" s="20" t="s">
        <v>28</v>
      </c>
      <c r="D12" s="10"/>
      <c r="E12" s="16"/>
      <c r="F12" s="11">
        <v>60.0</v>
      </c>
      <c r="G12" s="12">
        <f t="shared" si="1"/>
        <v>-60</v>
      </c>
      <c r="H12" s="13"/>
      <c r="I12" s="14" t="s">
        <v>14</v>
      </c>
      <c r="J12" s="13">
        <v>45944.0</v>
      </c>
      <c r="K12" s="7" t="s">
        <v>16</v>
      </c>
      <c r="L12" s="17"/>
    </row>
    <row r="13">
      <c r="A13" s="7">
        <v>11.0</v>
      </c>
      <c r="B13" s="19">
        <v>9.08421025E8</v>
      </c>
      <c r="C13" s="20" t="s">
        <v>112</v>
      </c>
      <c r="D13" s="10">
        <v>2.8042824E7</v>
      </c>
      <c r="E13" s="16">
        <v>1.0</v>
      </c>
      <c r="F13" s="11">
        <v>1.0</v>
      </c>
      <c r="G13" s="12">
        <f t="shared" si="1"/>
        <v>0</v>
      </c>
      <c r="H13" s="13">
        <v>45970.0</v>
      </c>
      <c r="I13" s="14" t="s">
        <v>14</v>
      </c>
      <c r="J13" s="13">
        <v>45971.0</v>
      </c>
      <c r="K13" s="7" t="s">
        <v>16</v>
      </c>
      <c r="L13" s="17"/>
    </row>
    <row r="14">
      <c r="A14" s="7">
        <v>12.0</v>
      </c>
      <c r="B14" s="19">
        <v>9.08402208E8</v>
      </c>
      <c r="C14" s="20" t="s">
        <v>111</v>
      </c>
      <c r="D14" s="10">
        <v>2.8042824E7</v>
      </c>
      <c r="E14" s="16">
        <v>5.0</v>
      </c>
      <c r="F14" s="11">
        <v>5.0</v>
      </c>
      <c r="G14" s="12">
        <f t="shared" si="1"/>
        <v>0</v>
      </c>
      <c r="H14" s="13">
        <v>45970.0</v>
      </c>
      <c r="I14" s="14" t="s">
        <v>14</v>
      </c>
      <c r="J14" s="13">
        <v>45971.0</v>
      </c>
      <c r="K14" s="7" t="s">
        <v>16</v>
      </c>
      <c r="L14" s="17"/>
    </row>
    <row r="15">
      <c r="A15" s="7">
        <v>13.0</v>
      </c>
      <c r="B15" s="19">
        <v>9.08111101E8</v>
      </c>
      <c r="C15" s="20" t="s">
        <v>24</v>
      </c>
      <c r="D15" s="10">
        <v>2.8042824E7</v>
      </c>
      <c r="E15" s="16">
        <v>4.0</v>
      </c>
      <c r="F15" s="11">
        <v>6.0</v>
      </c>
      <c r="G15" s="12">
        <f t="shared" si="1"/>
        <v>-2</v>
      </c>
      <c r="H15" s="13">
        <v>45970.0</v>
      </c>
      <c r="I15" s="14" t="s">
        <v>14</v>
      </c>
      <c r="J15" s="13">
        <v>45971.0</v>
      </c>
      <c r="K15" s="7" t="s">
        <v>16</v>
      </c>
      <c r="L15" s="17"/>
    </row>
    <row r="16">
      <c r="A16" s="7">
        <v>14.0</v>
      </c>
      <c r="B16" s="19">
        <v>9.08421031E8</v>
      </c>
      <c r="C16" s="20" t="s">
        <v>270</v>
      </c>
      <c r="D16" s="10">
        <v>2.8042824E7</v>
      </c>
      <c r="E16" s="16">
        <v>2.0</v>
      </c>
      <c r="F16" s="11">
        <v>2.0</v>
      </c>
      <c r="G16" s="12">
        <f t="shared" si="1"/>
        <v>0</v>
      </c>
      <c r="H16" s="13">
        <v>45970.0</v>
      </c>
      <c r="I16" s="14" t="s">
        <v>14</v>
      </c>
      <c r="J16" s="13">
        <v>45971.0</v>
      </c>
      <c r="K16" s="7" t="s">
        <v>16</v>
      </c>
      <c r="L16" s="17"/>
    </row>
    <row r="17">
      <c r="A17" s="7">
        <v>15.0</v>
      </c>
      <c r="B17" s="19" t="s">
        <v>20</v>
      </c>
      <c r="C17" s="20" t="s">
        <v>21</v>
      </c>
      <c r="D17" s="10">
        <v>2.8042824E7</v>
      </c>
      <c r="E17" s="16">
        <v>2.0</v>
      </c>
      <c r="F17" s="11">
        <v>3.0</v>
      </c>
      <c r="G17" s="12">
        <f t="shared" si="1"/>
        <v>-1</v>
      </c>
      <c r="H17" s="13">
        <v>45970.0</v>
      </c>
      <c r="I17" s="14" t="s">
        <v>14</v>
      </c>
      <c r="J17" s="13">
        <v>45971.0</v>
      </c>
      <c r="K17" s="7" t="s">
        <v>16</v>
      </c>
      <c r="L17" s="17"/>
    </row>
    <row r="18">
      <c r="A18" s="7">
        <v>16.0</v>
      </c>
      <c r="B18" s="19">
        <v>9.0820203E8</v>
      </c>
      <c r="C18" s="20" t="s">
        <v>19</v>
      </c>
      <c r="D18" s="10">
        <v>2.8042824E7</v>
      </c>
      <c r="E18" s="16">
        <v>2.0</v>
      </c>
      <c r="F18" s="11"/>
      <c r="G18" s="12">
        <f t="shared" si="1"/>
        <v>2</v>
      </c>
      <c r="H18" s="13">
        <v>45970.0</v>
      </c>
      <c r="I18" s="14" t="s">
        <v>14</v>
      </c>
      <c r="J18" s="13"/>
      <c r="K18" s="7"/>
      <c r="L18" s="17"/>
    </row>
    <row r="19">
      <c r="A19" s="7">
        <v>17.0</v>
      </c>
      <c r="B19" s="19">
        <v>9.08371012E8</v>
      </c>
      <c r="C19" s="20" t="s">
        <v>150</v>
      </c>
      <c r="D19" s="10">
        <v>2.8042824E7</v>
      </c>
      <c r="E19" s="16">
        <v>5.0</v>
      </c>
      <c r="F19" s="11">
        <v>5.0</v>
      </c>
      <c r="G19" s="12">
        <f t="shared" si="1"/>
        <v>0</v>
      </c>
      <c r="H19" s="13">
        <v>45970.0</v>
      </c>
      <c r="I19" s="14" t="s">
        <v>14</v>
      </c>
      <c r="J19" s="13">
        <v>45971.0</v>
      </c>
      <c r="K19" s="7" t="s">
        <v>16</v>
      </c>
      <c r="L19" s="17"/>
    </row>
    <row r="20">
      <c r="A20" s="7">
        <v>18.0</v>
      </c>
      <c r="B20" s="8">
        <v>9.08202189E8</v>
      </c>
      <c r="C20" s="9" t="s">
        <v>55</v>
      </c>
      <c r="D20" s="10">
        <v>2.8042824E7</v>
      </c>
      <c r="E20" s="16">
        <v>2.0</v>
      </c>
      <c r="F20" s="11">
        <v>3.0</v>
      </c>
      <c r="G20" s="12">
        <f t="shared" si="1"/>
        <v>-1</v>
      </c>
      <c r="H20" s="13">
        <v>45985.0</v>
      </c>
      <c r="I20" s="14" t="s">
        <v>14</v>
      </c>
      <c r="J20" s="13">
        <v>45971.0</v>
      </c>
      <c r="K20" s="7" t="s">
        <v>16</v>
      </c>
      <c r="L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2.7811908E7</v>
      </c>
      <c r="E3" s="16">
        <v>2.0</v>
      </c>
      <c r="F3" s="11">
        <v>2.0</v>
      </c>
      <c r="G3" s="12">
        <f t="shared" ref="G3:G22" si="1">E3-F3</f>
        <v>0</v>
      </c>
      <c r="H3" s="13">
        <v>45938.0</v>
      </c>
      <c r="I3" s="14" t="s">
        <v>14</v>
      </c>
      <c r="J3" s="13">
        <v>45944.0</v>
      </c>
      <c r="K3" s="7" t="s">
        <v>16</v>
      </c>
      <c r="L3" s="17"/>
    </row>
    <row r="4">
      <c r="A4" s="7">
        <v>2.0</v>
      </c>
      <c r="B4" s="19">
        <v>9.0812101E8</v>
      </c>
      <c r="C4" s="20" t="s">
        <v>18</v>
      </c>
      <c r="D4" s="10">
        <v>2.7811908E7</v>
      </c>
      <c r="E4" s="16">
        <v>2.0</v>
      </c>
      <c r="F4" s="11">
        <f>1+1</f>
        <v>2</v>
      </c>
      <c r="G4" s="12">
        <f t="shared" si="1"/>
        <v>0</v>
      </c>
      <c r="H4" s="13">
        <v>45938.0</v>
      </c>
      <c r="I4" s="14" t="s">
        <v>14</v>
      </c>
      <c r="J4" s="13" t="s">
        <v>272</v>
      </c>
      <c r="K4" s="7" t="s">
        <v>16</v>
      </c>
      <c r="L4" s="17"/>
    </row>
    <row r="5">
      <c r="A5" s="7">
        <v>3.0</v>
      </c>
      <c r="B5" s="19">
        <v>9.08122011E8</v>
      </c>
      <c r="C5" s="20" t="s">
        <v>23</v>
      </c>
      <c r="D5" s="10">
        <v>2.7811908E7</v>
      </c>
      <c r="E5" s="16">
        <v>3.0</v>
      </c>
      <c r="F5" s="11">
        <v>3.0</v>
      </c>
      <c r="G5" s="12">
        <f t="shared" si="1"/>
        <v>0</v>
      </c>
      <c r="H5" s="13">
        <v>45938.0</v>
      </c>
      <c r="I5" s="14" t="s">
        <v>14</v>
      </c>
      <c r="J5" s="13">
        <v>45951.0</v>
      </c>
      <c r="K5" s="7" t="s">
        <v>16</v>
      </c>
      <c r="L5" s="17"/>
    </row>
    <row r="6">
      <c r="A6" s="7">
        <v>4.0</v>
      </c>
      <c r="B6" s="19">
        <v>9.0820203E8</v>
      </c>
      <c r="C6" s="20" t="s">
        <v>19</v>
      </c>
      <c r="D6" s="10">
        <v>2.7811908E7</v>
      </c>
      <c r="E6" s="16">
        <v>2.0</v>
      </c>
      <c r="F6" s="11">
        <v>2.0</v>
      </c>
      <c r="G6" s="12">
        <f t="shared" si="1"/>
        <v>0</v>
      </c>
      <c r="H6" s="13">
        <v>45938.0</v>
      </c>
      <c r="I6" s="14" t="s">
        <v>14</v>
      </c>
      <c r="J6" s="13">
        <v>45944.0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10">
        <v>2.7811908E7</v>
      </c>
      <c r="E7" s="16">
        <v>2.0</v>
      </c>
      <c r="F7" s="11">
        <v>2.0</v>
      </c>
      <c r="G7" s="12">
        <f t="shared" si="1"/>
        <v>0</v>
      </c>
      <c r="H7" s="13">
        <v>45938.0</v>
      </c>
      <c r="I7" s="14" t="s">
        <v>14</v>
      </c>
      <c r="J7" s="13">
        <v>45944.0</v>
      </c>
      <c r="K7" s="7" t="s">
        <v>16</v>
      </c>
      <c r="L7" s="17"/>
    </row>
    <row r="8">
      <c r="A8" s="7">
        <v>6.0</v>
      </c>
      <c r="B8" s="19">
        <v>9.08020201E8</v>
      </c>
      <c r="C8" s="20" t="s">
        <v>13</v>
      </c>
      <c r="D8" s="39" t="s">
        <v>273</v>
      </c>
      <c r="E8" s="16">
        <f>1+2</f>
        <v>3</v>
      </c>
      <c r="F8" s="11"/>
      <c r="G8" s="12">
        <f t="shared" si="1"/>
        <v>3</v>
      </c>
      <c r="H8" s="13" t="s">
        <v>274</v>
      </c>
      <c r="I8" s="14" t="s">
        <v>14</v>
      </c>
      <c r="J8" s="13"/>
      <c r="K8" s="7"/>
      <c r="L8" s="17"/>
    </row>
    <row r="9">
      <c r="A9" s="7">
        <v>7.0</v>
      </c>
      <c r="B9" s="19" t="s">
        <v>103</v>
      </c>
      <c r="C9" s="20" t="s">
        <v>104</v>
      </c>
      <c r="D9" s="10">
        <v>2.7811908E7</v>
      </c>
      <c r="E9" s="16">
        <v>1.0</v>
      </c>
      <c r="F9" s="11">
        <v>1.0</v>
      </c>
      <c r="G9" s="12">
        <f t="shared" si="1"/>
        <v>0</v>
      </c>
      <c r="H9" s="13">
        <v>45939.0</v>
      </c>
      <c r="I9" s="14" t="s">
        <v>14</v>
      </c>
      <c r="J9" s="13">
        <v>45944.0</v>
      </c>
      <c r="K9" s="7" t="s">
        <v>16</v>
      </c>
      <c r="L9" s="17"/>
    </row>
    <row r="10">
      <c r="A10" s="7">
        <v>8.0</v>
      </c>
      <c r="B10" s="19">
        <v>9.08202098E8</v>
      </c>
      <c r="C10" s="20" t="s">
        <v>22</v>
      </c>
      <c r="D10" s="10">
        <v>2.7811908E7</v>
      </c>
      <c r="E10" s="16">
        <v>2.0</v>
      </c>
      <c r="F10" s="11">
        <v>6.0</v>
      </c>
      <c r="G10" s="12">
        <f t="shared" si="1"/>
        <v>-4</v>
      </c>
      <c r="H10" s="13">
        <v>45939.0</v>
      </c>
      <c r="I10" s="14" t="s">
        <v>14</v>
      </c>
      <c r="J10" s="13">
        <v>45944.0</v>
      </c>
      <c r="K10" s="7" t="s">
        <v>16</v>
      </c>
      <c r="L10" s="17"/>
    </row>
    <row r="11">
      <c r="A11" s="7">
        <v>9.0</v>
      </c>
      <c r="B11" s="19" t="s">
        <v>25</v>
      </c>
      <c r="C11" s="20" t="s">
        <v>26</v>
      </c>
      <c r="D11" s="10"/>
      <c r="E11" s="16"/>
      <c r="F11" s="11">
        <v>32.0</v>
      </c>
      <c r="G11" s="12">
        <f t="shared" si="1"/>
        <v>-32</v>
      </c>
      <c r="H11" s="13"/>
      <c r="I11" s="14" t="s">
        <v>14</v>
      </c>
      <c r="J11" s="13">
        <v>45944.0</v>
      </c>
      <c r="K11" s="7" t="s">
        <v>16</v>
      </c>
      <c r="L11" s="17"/>
    </row>
    <row r="12">
      <c r="A12" s="7">
        <v>10.0</v>
      </c>
      <c r="B12" s="19" t="s">
        <v>27</v>
      </c>
      <c r="C12" s="20" t="s">
        <v>28</v>
      </c>
      <c r="D12" s="10"/>
      <c r="E12" s="16"/>
      <c r="F12" s="11">
        <v>57.0</v>
      </c>
      <c r="G12" s="12">
        <f t="shared" si="1"/>
        <v>-57</v>
      </c>
      <c r="H12" s="13"/>
      <c r="I12" s="14" t="s">
        <v>14</v>
      </c>
      <c r="J12" s="13">
        <v>45944.0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>
        <v>2.7811908E7</v>
      </c>
      <c r="E13" s="16">
        <v>6.0</v>
      </c>
      <c r="F13" s="11">
        <v>6.0</v>
      </c>
      <c r="G13" s="12">
        <f t="shared" si="1"/>
        <v>0</v>
      </c>
      <c r="H13" s="13">
        <v>45959.0</v>
      </c>
      <c r="I13" s="14" t="s">
        <v>14</v>
      </c>
      <c r="J13" s="13">
        <v>45944.0</v>
      </c>
      <c r="K13" s="7" t="s">
        <v>16</v>
      </c>
      <c r="L13" s="17"/>
    </row>
    <row r="14">
      <c r="A14" s="7">
        <v>12.0</v>
      </c>
      <c r="B14" s="19">
        <v>9.08421025E8</v>
      </c>
      <c r="C14" s="20" t="s">
        <v>112</v>
      </c>
      <c r="D14" s="10">
        <v>2.818786E7</v>
      </c>
      <c r="E14" s="16">
        <v>1.0</v>
      </c>
      <c r="F14" s="11">
        <v>1.0</v>
      </c>
      <c r="G14" s="12">
        <f t="shared" si="1"/>
        <v>0</v>
      </c>
      <c r="H14" s="13">
        <v>45998.0</v>
      </c>
      <c r="I14" s="14" t="s">
        <v>14</v>
      </c>
      <c r="J14" s="13">
        <v>45999.0</v>
      </c>
      <c r="K14" s="7" t="s">
        <v>16</v>
      </c>
      <c r="L14" s="17"/>
    </row>
    <row r="15">
      <c r="A15" s="7">
        <v>13.0</v>
      </c>
      <c r="B15" s="19">
        <v>9.08402208E8</v>
      </c>
      <c r="C15" s="20" t="s">
        <v>111</v>
      </c>
      <c r="D15" s="10">
        <v>2.818786E7</v>
      </c>
      <c r="E15" s="16">
        <v>3.0</v>
      </c>
      <c r="F15" s="11">
        <v>3.0</v>
      </c>
      <c r="G15" s="12">
        <f t="shared" si="1"/>
        <v>0</v>
      </c>
      <c r="H15" s="13">
        <v>45998.0</v>
      </c>
      <c r="I15" s="14" t="s">
        <v>14</v>
      </c>
      <c r="J15" s="13">
        <v>45999.0</v>
      </c>
      <c r="K15" s="7" t="s">
        <v>16</v>
      </c>
      <c r="L15" s="17"/>
    </row>
    <row r="16">
      <c r="A16" s="7">
        <v>14.0</v>
      </c>
      <c r="B16" s="19">
        <v>9.08111101E8</v>
      </c>
      <c r="C16" s="20" t="s">
        <v>24</v>
      </c>
      <c r="D16" s="10">
        <v>2.818786E7</v>
      </c>
      <c r="E16" s="16">
        <v>4.0</v>
      </c>
      <c r="F16" s="11">
        <v>4.0</v>
      </c>
      <c r="G16" s="12">
        <f t="shared" si="1"/>
        <v>0</v>
      </c>
      <c r="H16" s="13">
        <v>45998.0</v>
      </c>
      <c r="I16" s="14" t="s">
        <v>14</v>
      </c>
      <c r="J16" s="13">
        <v>45999.0</v>
      </c>
      <c r="K16" s="7" t="s">
        <v>16</v>
      </c>
      <c r="L16" s="17"/>
    </row>
    <row r="17">
      <c r="A17" s="7">
        <v>15.0</v>
      </c>
      <c r="B17" s="19">
        <v>9.08421031E8</v>
      </c>
      <c r="C17" s="20" t="s">
        <v>270</v>
      </c>
      <c r="D17" s="10">
        <v>2.818786E7</v>
      </c>
      <c r="E17" s="16">
        <v>1.0</v>
      </c>
      <c r="F17" s="11">
        <v>1.0</v>
      </c>
      <c r="G17" s="12">
        <f t="shared" si="1"/>
        <v>0</v>
      </c>
      <c r="H17" s="13">
        <v>45998.0</v>
      </c>
      <c r="I17" s="14" t="s">
        <v>14</v>
      </c>
      <c r="J17" s="13">
        <v>45999.0</v>
      </c>
      <c r="K17" s="7" t="s">
        <v>16</v>
      </c>
      <c r="L17" s="17"/>
    </row>
    <row r="18">
      <c r="A18" s="7">
        <v>16.0</v>
      </c>
      <c r="B18" s="19" t="s">
        <v>20</v>
      </c>
      <c r="C18" s="20" t="s">
        <v>21</v>
      </c>
      <c r="D18" s="10">
        <v>2.818786E7</v>
      </c>
      <c r="E18" s="16">
        <v>2.0</v>
      </c>
      <c r="F18" s="11">
        <v>2.0</v>
      </c>
      <c r="G18" s="12">
        <f t="shared" si="1"/>
        <v>0</v>
      </c>
      <c r="H18" s="13">
        <v>45998.0</v>
      </c>
      <c r="I18" s="14" t="s">
        <v>14</v>
      </c>
      <c r="J18" s="13">
        <v>45999.0</v>
      </c>
      <c r="K18" s="7" t="s">
        <v>16</v>
      </c>
      <c r="L18" s="17"/>
    </row>
    <row r="19">
      <c r="A19" s="7">
        <v>17.0</v>
      </c>
      <c r="B19" s="19">
        <v>9.0820203E8</v>
      </c>
      <c r="C19" s="20" t="s">
        <v>19</v>
      </c>
      <c r="D19" s="10">
        <v>2.818786E7</v>
      </c>
      <c r="E19" s="16">
        <v>2.0</v>
      </c>
      <c r="F19" s="11"/>
      <c r="G19" s="12">
        <f t="shared" si="1"/>
        <v>2</v>
      </c>
      <c r="H19" s="13">
        <v>45998.0</v>
      </c>
      <c r="I19" s="14" t="s">
        <v>14</v>
      </c>
      <c r="J19" s="13"/>
      <c r="K19" s="7"/>
      <c r="L19" s="17"/>
    </row>
    <row r="20">
      <c r="A20" s="7">
        <v>18.0</v>
      </c>
      <c r="B20" s="19">
        <v>9.08371014E8</v>
      </c>
      <c r="C20" s="20" t="s">
        <v>113</v>
      </c>
      <c r="D20" s="10">
        <v>2.818786E7</v>
      </c>
      <c r="E20" s="16">
        <v>3.0</v>
      </c>
      <c r="F20" s="11">
        <v>3.0</v>
      </c>
      <c r="G20" s="12">
        <f t="shared" si="1"/>
        <v>0</v>
      </c>
      <c r="H20" s="13">
        <v>45998.0</v>
      </c>
      <c r="I20" s="14" t="s">
        <v>14</v>
      </c>
      <c r="J20" s="13">
        <v>45999.0</v>
      </c>
      <c r="K20" s="7" t="s">
        <v>16</v>
      </c>
      <c r="L20" s="17"/>
    </row>
    <row r="21" ht="15.75" customHeight="1">
      <c r="A21" s="7">
        <v>19.0</v>
      </c>
      <c r="B21" s="19">
        <v>9.08202189E8</v>
      </c>
      <c r="C21" s="20" t="s">
        <v>55</v>
      </c>
      <c r="D21" s="10">
        <v>2.818786E7</v>
      </c>
      <c r="E21" s="16">
        <v>2.0</v>
      </c>
      <c r="F21" s="11">
        <v>2.0</v>
      </c>
      <c r="G21" s="12">
        <f t="shared" si="1"/>
        <v>0</v>
      </c>
      <c r="H21" s="13">
        <v>45998.0</v>
      </c>
      <c r="I21" s="14" t="s">
        <v>14</v>
      </c>
      <c r="J21" s="13">
        <v>45999.0</v>
      </c>
      <c r="K21" s="7" t="s">
        <v>16</v>
      </c>
      <c r="L21" s="17"/>
    </row>
    <row r="22" ht="15.75" customHeight="1">
      <c r="A22" s="7"/>
      <c r="B22" s="19"/>
      <c r="C22" s="20"/>
      <c r="D22" s="10"/>
      <c r="E22" s="16"/>
      <c r="F22" s="11"/>
      <c r="G22" s="12">
        <f t="shared" si="1"/>
        <v>0</v>
      </c>
      <c r="H22" s="13"/>
      <c r="I22" s="14"/>
      <c r="J22" s="13"/>
      <c r="K22" s="7"/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6.75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0.0" customHeight="1">
      <c r="A3" s="7">
        <v>1.0</v>
      </c>
      <c r="B3" s="20" t="s">
        <v>35</v>
      </c>
      <c r="C3" s="20" t="s">
        <v>36</v>
      </c>
      <c r="D3" s="7">
        <v>2.7837809E7</v>
      </c>
      <c r="E3" s="7">
        <v>8.0</v>
      </c>
      <c r="F3" s="11">
        <v>8.0</v>
      </c>
      <c r="G3" s="12">
        <f t="shared" ref="G3:G24" si="1">E3-F3</f>
        <v>0</v>
      </c>
      <c r="H3" s="21">
        <v>45937.0</v>
      </c>
      <c r="I3" s="9" t="s">
        <v>14</v>
      </c>
      <c r="J3" s="22">
        <v>45952.0</v>
      </c>
      <c r="K3" s="7" t="s">
        <v>37</v>
      </c>
      <c r="L3" s="9"/>
    </row>
    <row r="4" ht="30.0" customHeight="1">
      <c r="A4" s="7">
        <v>2.0</v>
      </c>
      <c r="B4" s="20">
        <v>9.08122039E8</v>
      </c>
      <c r="C4" s="20" t="s">
        <v>38</v>
      </c>
      <c r="D4" s="7">
        <v>2.7837809E7</v>
      </c>
      <c r="E4" s="7">
        <v>4.0</v>
      </c>
      <c r="F4" s="11">
        <v>2.0</v>
      </c>
      <c r="G4" s="12">
        <f t="shared" si="1"/>
        <v>2</v>
      </c>
      <c r="H4" s="21">
        <v>45937.0</v>
      </c>
      <c r="I4" s="9" t="s">
        <v>14</v>
      </c>
      <c r="J4" s="22">
        <v>45952.0</v>
      </c>
      <c r="K4" s="7" t="s">
        <v>37</v>
      </c>
      <c r="L4" s="9"/>
    </row>
    <row r="5" ht="30.0" customHeight="1">
      <c r="A5" s="7">
        <v>3.0</v>
      </c>
      <c r="B5" s="20">
        <v>9.08202056E8</v>
      </c>
      <c r="C5" s="20" t="s">
        <v>39</v>
      </c>
      <c r="D5" s="7">
        <v>2.7837809E7</v>
      </c>
      <c r="E5" s="7">
        <v>4.0</v>
      </c>
      <c r="F5" s="11"/>
      <c r="G5" s="12">
        <f t="shared" si="1"/>
        <v>4</v>
      </c>
      <c r="H5" s="21">
        <v>45937.0</v>
      </c>
      <c r="I5" s="9" t="s">
        <v>14</v>
      </c>
      <c r="J5" s="22"/>
      <c r="K5" s="7"/>
      <c r="L5" s="17"/>
    </row>
    <row r="6" ht="49.5" customHeight="1">
      <c r="A6" s="7">
        <v>4.0</v>
      </c>
      <c r="B6" s="23" t="s">
        <v>40</v>
      </c>
      <c r="C6" s="20" t="s">
        <v>41</v>
      </c>
      <c r="D6" s="7">
        <v>2.7837809E7</v>
      </c>
      <c r="E6" s="7">
        <v>9.0</v>
      </c>
      <c r="F6" s="11">
        <v>3.0</v>
      </c>
      <c r="G6" s="12">
        <f t="shared" si="1"/>
        <v>6</v>
      </c>
      <c r="H6" s="21">
        <v>45937.0</v>
      </c>
      <c r="I6" s="9" t="s">
        <v>14</v>
      </c>
      <c r="J6" s="22">
        <v>45992.0</v>
      </c>
      <c r="K6" s="7" t="s">
        <v>37</v>
      </c>
      <c r="L6" s="17"/>
    </row>
    <row r="7" ht="30.0" customHeight="1">
      <c r="A7" s="7">
        <v>5.0</v>
      </c>
      <c r="B7" s="20">
        <v>9.05743739E8</v>
      </c>
      <c r="C7" s="20" t="s">
        <v>42</v>
      </c>
      <c r="D7" s="7">
        <v>2.7837809E7</v>
      </c>
      <c r="E7" s="7">
        <v>12.0</v>
      </c>
      <c r="F7" s="56"/>
      <c r="G7" s="12">
        <f t="shared" si="1"/>
        <v>12</v>
      </c>
      <c r="H7" s="21">
        <v>45937.0</v>
      </c>
      <c r="I7" s="9" t="s">
        <v>14</v>
      </c>
      <c r="J7" s="22"/>
      <c r="K7" s="17"/>
      <c r="L7" s="17"/>
    </row>
    <row r="8" ht="30.0" customHeight="1">
      <c r="A8" s="7">
        <v>6.0</v>
      </c>
      <c r="B8" s="20" t="s">
        <v>20</v>
      </c>
      <c r="C8" s="20" t="s">
        <v>21</v>
      </c>
      <c r="D8" s="7">
        <v>2.7837809E7</v>
      </c>
      <c r="E8" s="7">
        <v>4.0</v>
      </c>
      <c r="F8" s="11">
        <v>6.0</v>
      </c>
      <c r="G8" s="12">
        <f t="shared" si="1"/>
        <v>-2</v>
      </c>
      <c r="H8" s="21">
        <v>45937.0</v>
      </c>
      <c r="I8" s="9" t="s">
        <v>14</v>
      </c>
      <c r="J8" s="22">
        <v>45952.0</v>
      </c>
      <c r="K8" s="7" t="s">
        <v>37</v>
      </c>
      <c r="L8" s="17"/>
    </row>
    <row r="9" ht="30.0" customHeight="1">
      <c r="A9" s="7">
        <v>7.0</v>
      </c>
      <c r="B9" s="20">
        <v>9.05708973E8</v>
      </c>
      <c r="C9" s="20" t="s">
        <v>43</v>
      </c>
      <c r="D9" s="7">
        <v>2.7837809E7</v>
      </c>
      <c r="E9" s="7">
        <v>4.0</v>
      </c>
      <c r="F9" s="11"/>
      <c r="G9" s="12">
        <f t="shared" si="1"/>
        <v>4</v>
      </c>
      <c r="H9" s="21">
        <v>45939.0</v>
      </c>
      <c r="I9" s="9" t="s">
        <v>14</v>
      </c>
      <c r="J9" s="22"/>
      <c r="K9" s="7"/>
      <c r="L9" s="17"/>
    </row>
    <row r="10" ht="53.25" customHeight="1">
      <c r="A10" s="7">
        <v>8.0</v>
      </c>
      <c r="B10" s="23" t="s">
        <v>44</v>
      </c>
      <c r="C10" s="20" t="s">
        <v>45</v>
      </c>
      <c r="D10" s="7">
        <v>2.7837809E7</v>
      </c>
      <c r="E10" s="7">
        <v>9.0</v>
      </c>
      <c r="F10" s="11">
        <v>6.0</v>
      </c>
      <c r="G10" s="12">
        <f t="shared" si="1"/>
        <v>3</v>
      </c>
      <c r="H10" s="21">
        <v>45939.0</v>
      </c>
      <c r="I10" s="9" t="s">
        <v>14</v>
      </c>
      <c r="J10" s="22">
        <v>45991.0</v>
      </c>
      <c r="K10" s="7" t="s">
        <v>37</v>
      </c>
      <c r="L10" s="64" t="s">
        <v>276</v>
      </c>
    </row>
    <row r="11" ht="43.5" customHeight="1">
      <c r="A11" s="7">
        <v>9.0</v>
      </c>
      <c r="B11" s="23" t="s">
        <v>46</v>
      </c>
      <c r="C11" s="20" t="s">
        <v>47</v>
      </c>
      <c r="D11" s="7">
        <v>2.7837809E7</v>
      </c>
      <c r="E11" s="7">
        <v>3.0</v>
      </c>
      <c r="F11" s="11"/>
      <c r="G11" s="12">
        <f t="shared" si="1"/>
        <v>3</v>
      </c>
      <c r="H11" s="21">
        <v>45939.0</v>
      </c>
      <c r="I11" s="9" t="s">
        <v>14</v>
      </c>
      <c r="J11" s="22"/>
      <c r="K11" s="7"/>
      <c r="L11" s="17"/>
    </row>
    <row r="12" ht="30.0" customHeight="1">
      <c r="A12" s="7">
        <v>10.0</v>
      </c>
      <c r="B12" s="20">
        <v>9.05728003E8</v>
      </c>
      <c r="C12" s="20" t="s">
        <v>48</v>
      </c>
      <c r="D12" s="7">
        <v>2.7837809E7</v>
      </c>
      <c r="E12" s="7">
        <v>3.0</v>
      </c>
      <c r="F12" s="11">
        <v>3.0</v>
      </c>
      <c r="G12" s="12">
        <f t="shared" si="1"/>
        <v>0</v>
      </c>
      <c r="H12" s="21">
        <v>45939.0</v>
      </c>
      <c r="I12" s="9" t="s">
        <v>14</v>
      </c>
      <c r="J12" s="22">
        <v>45952.0</v>
      </c>
      <c r="K12" s="7" t="s">
        <v>37</v>
      </c>
      <c r="L12" s="17"/>
    </row>
    <row r="13" ht="30.0" customHeight="1">
      <c r="A13" s="7">
        <v>11.0</v>
      </c>
      <c r="B13" s="20">
        <v>9.05728005E8</v>
      </c>
      <c r="C13" s="20" t="s">
        <v>49</v>
      </c>
      <c r="D13" s="7">
        <v>2.7837809E7</v>
      </c>
      <c r="E13" s="7">
        <v>6.0</v>
      </c>
      <c r="F13" s="11"/>
      <c r="G13" s="12">
        <f t="shared" si="1"/>
        <v>6</v>
      </c>
      <c r="H13" s="21">
        <v>45939.0</v>
      </c>
      <c r="I13" s="9" t="s">
        <v>14</v>
      </c>
      <c r="J13" s="22"/>
      <c r="K13" s="7"/>
      <c r="L13" s="17"/>
    </row>
    <row r="14" ht="30.0" customHeight="1">
      <c r="A14" s="7">
        <v>12.0</v>
      </c>
      <c r="B14" s="20">
        <v>9.05759635E8</v>
      </c>
      <c r="C14" s="20" t="s">
        <v>50</v>
      </c>
      <c r="D14" s="7">
        <v>2.7837809E7</v>
      </c>
      <c r="E14" s="7">
        <v>9.0</v>
      </c>
      <c r="F14" s="11">
        <v>3.0</v>
      </c>
      <c r="G14" s="12">
        <f t="shared" si="1"/>
        <v>6</v>
      </c>
      <c r="H14" s="21">
        <v>45939.0</v>
      </c>
      <c r="I14" s="9" t="s">
        <v>14</v>
      </c>
      <c r="J14" s="22">
        <v>45953.0</v>
      </c>
      <c r="K14" s="7" t="s">
        <v>37</v>
      </c>
      <c r="L14" s="17"/>
    </row>
    <row r="15" ht="30.0" customHeight="1">
      <c r="A15" s="7">
        <v>13.0</v>
      </c>
      <c r="B15" s="20">
        <v>9.0577328E8</v>
      </c>
      <c r="C15" s="20" t="s">
        <v>51</v>
      </c>
      <c r="D15" s="7">
        <v>2.7837809E7</v>
      </c>
      <c r="E15" s="7">
        <v>1.0</v>
      </c>
      <c r="F15" s="11">
        <v>1.0</v>
      </c>
      <c r="G15" s="12">
        <f t="shared" si="1"/>
        <v>0</v>
      </c>
      <c r="H15" s="21">
        <v>45939.0</v>
      </c>
      <c r="I15" s="9" t="s">
        <v>14</v>
      </c>
      <c r="J15" s="22">
        <v>45951.0</v>
      </c>
      <c r="K15" s="7" t="s">
        <v>37</v>
      </c>
      <c r="L15" s="17"/>
    </row>
    <row r="16" ht="44.25" customHeight="1">
      <c r="A16" s="7">
        <v>14.0</v>
      </c>
      <c r="B16" s="23" t="s">
        <v>52</v>
      </c>
      <c r="C16" s="20" t="s">
        <v>53</v>
      </c>
      <c r="D16" s="7">
        <v>2.7837809E7</v>
      </c>
      <c r="E16" s="7">
        <f t="shared" ref="E16:F16" si="2">3+3</f>
        <v>6</v>
      </c>
      <c r="F16" s="11">
        <f t="shared" si="2"/>
        <v>6</v>
      </c>
      <c r="G16" s="12">
        <f t="shared" si="1"/>
        <v>0</v>
      </c>
      <c r="H16" s="22" t="s">
        <v>274</v>
      </c>
      <c r="I16" s="9" t="s">
        <v>14</v>
      </c>
      <c r="J16" s="22" t="s">
        <v>277</v>
      </c>
      <c r="K16" s="7" t="s">
        <v>37</v>
      </c>
      <c r="L16" s="17"/>
    </row>
    <row r="17" ht="30.0" customHeight="1">
      <c r="A17" s="7">
        <v>15.0</v>
      </c>
      <c r="B17" s="20">
        <v>9.08513025E8</v>
      </c>
      <c r="C17" s="20" t="s">
        <v>54</v>
      </c>
      <c r="D17" s="7">
        <v>2.7837809E7</v>
      </c>
      <c r="E17" s="7">
        <v>1.0</v>
      </c>
      <c r="F17" s="11">
        <v>1.0</v>
      </c>
      <c r="G17" s="12">
        <f t="shared" si="1"/>
        <v>0</v>
      </c>
      <c r="H17" s="21">
        <v>45939.0</v>
      </c>
      <c r="I17" s="9" t="s">
        <v>14</v>
      </c>
      <c r="J17" s="22">
        <v>45951.0</v>
      </c>
      <c r="K17" s="7" t="s">
        <v>37</v>
      </c>
      <c r="L17" s="17"/>
    </row>
    <row r="18" ht="30.0" customHeight="1">
      <c r="A18" s="7">
        <v>16.0</v>
      </c>
      <c r="B18" s="8">
        <v>9.08202189E8</v>
      </c>
      <c r="C18" s="9" t="s">
        <v>55</v>
      </c>
      <c r="D18" s="7">
        <v>2.7837809E7</v>
      </c>
      <c r="E18" s="7">
        <v>14.0</v>
      </c>
      <c r="F18" s="11">
        <v>14.0</v>
      </c>
      <c r="G18" s="12">
        <f t="shared" si="1"/>
        <v>0</v>
      </c>
      <c r="H18" s="21">
        <v>45939.0</v>
      </c>
      <c r="I18" s="9" t="s">
        <v>14</v>
      </c>
      <c r="J18" s="22">
        <v>45952.0</v>
      </c>
      <c r="K18" s="7" t="s">
        <v>37</v>
      </c>
      <c r="L18" s="17"/>
    </row>
    <row r="19" ht="30.0" customHeight="1">
      <c r="A19" s="7">
        <v>17.0</v>
      </c>
      <c r="B19" s="8">
        <v>9.08111003E8</v>
      </c>
      <c r="C19" s="9" t="s">
        <v>56</v>
      </c>
      <c r="D19" s="7">
        <v>2.7837809E7</v>
      </c>
      <c r="E19" s="7">
        <v>10.0</v>
      </c>
      <c r="F19" s="11">
        <v>10.0</v>
      </c>
      <c r="G19" s="12">
        <f t="shared" si="1"/>
        <v>0</v>
      </c>
      <c r="H19" s="21">
        <v>45944.0</v>
      </c>
      <c r="I19" s="9" t="s">
        <v>14</v>
      </c>
      <c r="J19" s="22">
        <v>45952.0</v>
      </c>
      <c r="K19" s="7" t="s">
        <v>37</v>
      </c>
      <c r="L19" s="17"/>
    </row>
    <row r="20" ht="30.0" customHeight="1">
      <c r="A20" s="7">
        <v>18.0</v>
      </c>
      <c r="B20" s="8">
        <v>9.05728066E8</v>
      </c>
      <c r="C20" s="9" t="s">
        <v>57</v>
      </c>
      <c r="D20" s="7">
        <v>2.7837809E7</v>
      </c>
      <c r="E20" s="7">
        <v>30.0</v>
      </c>
      <c r="F20" s="11">
        <v>30.0</v>
      </c>
      <c r="G20" s="12">
        <f t="shared" si="1"/>
        <v>0</v>
      </c>
      <c r="H20" s="21">
        <v>45944.0</v>
      </c>
      <c r="I20" s="9" t="s">
        <v>14</v>
      </c>
      <c r="J20" s="22">
        <v>45952.0</v>
      </c>
      <c r="K20" s="7" t="s">
        <v>37</v>
      </c>
      <c r="L20" s="17"/>
    </row>
    <row r="21" ht="30.0" customHeight="1">
      <c r="A21" s="7">
        <v>19.0</v>
      </c>
      <c r="B21" s="8">
        <v>9.05727977E8</v>
      </c>
      <c r="C21" s="20" t="s">
        <v>47</v>
      </c>
      <c r="D21" s="7">
        <v>2.7837809E7</v>
      </c>
      <c r="E21" s="7">
        <v>6.0</v>
      </c>
      <c r="F21" s="11"/>
      <c r="G21" s="12">
        <f t="shared" si="1"/>
        <v>6</v>
      </c>
      <c r="H21" s="21">
        <v>45949.0</v>
      </c>
      <c r="I21" s="9" t="s">
        <v>14</v>
      </c>
      <c r="J21" s="22"/>
      <c r="K21" s="7"/>
      <c r="L21" s="17"/>
    </row>
    <row r="22" ht="30.0" customHeight="1">
      <c r="A22" s="7">
        <v>20.0</v>
      </c>
      <c r="B22" s="8">
        <v>9.08111102E8</v>
      </c>
      <c r="C22" s="20" t="s">
        <v>58</v>
      </c>
      <c r="D22" s="7"/>
      <c r="E22" s="7"/>
      <c r="F22" s="11">
        <v>40.0</v>
      </c>
      <c r="G22" s="12">
        <f t="shared" si="1"/>
        <v>-40</v>
      </c>
      <c r="H22" s="21"/>
      <c r="I22" s="9"/>
      <c r="J22" s="22">
        <v>45952.0</v>
      </c>
      <c r="K22" s="7" t="s">
        <v>37</v>
      </c>
      <c r="L22" s="17"/>
    </row>
    <row r="23" ht="30.0" customHeight="1">
      <c r="A23" s="7">
        <v>21.0</v>
      </c>
      <c r="B23" s="19">
        <v>9.0820203E8</v>
      </c>
      <c r="C23" s="20" t="s">
        <v>19</v>
      </c>
      <c r="D23" s="7"/>
      <c r="E23" s="7"/>
      <c r="F23" s="11">
        <v>3.0</v>
      </c>
      <c r="G23" s="12">
        <f t="shared" si="1"/>
        <v>-3</v>
      </c>
      <c r="H23" s="21"/>
      <c r="I23" s="9"/>
      <c r="J23" s="22">
        <v>45960.0</v>
      </c>
      <c r="K23" s="7" t="s">
        <v>37</v>
      </c>
      <c r="L23" s="17"/>
    </row>
    <row r="24" ht="30.0" customHeight="1">
      <c r="B24" s="19">
        <v>9.08121141E8</v>
      </c>
      <c r="C24" s="20" t="s">
        <v>278</v>
      </c>
      <c r="D24" s="7">
        <v>2.7837809E7</v>
      </c>
      <c r="E24" s="7">
        <v>2.0</v>
      </c>
      <c r="F24" s="11">
        <v>1.0</v>
      </c>
      <c r="G24" s="12">
        <f t="shared" si="1"/>
        <v>1</v>
      </c>
      <c r="H24" s="21">
        <v>45998.0</v>
      </c>
      <c r="I24" s="9" t="s">
        <v>14</v>
      </c>
      <c r="J24" s="22">
        <v>45993.0</v>
      </c>
      <c r="K24" s="7" t="s">
        <v>37</v>
      </c>
      <c r="L24" s="17"/>
    </row>
    <row r="25" ht="30.0" customHeight="1"/>
    <row r="26" ht="30.0" customHeight="1"/>
    <row r="27" ht="30.0" customHeight="1">
      <c r="A27" s="65" t="s">
        <v>1</v>
      </c>
      <c r="B27" s="66" t="s">
        <v>2</v>
      </c>
      <c r="C27" s="65" t="s">
        <v>279</v>
      </c>
      <c r="D27" s="65" t="s">
        <v>5</v>
      </c>
      <c r="E27" s="65" t="s">
        <v>189</v>
      </c>
      <c r="F27" s="25" t="s">
        <v>11</v>
      </c>
      <c r="G27" s="3"/>
    </row>
    <row r="28" ht="30.0" customHeight="1">
      <c r="A28" s="7">
        <v>1.0</v>
      </c>
      <c r="B28" s="19">
        <v>9.08121141E8</v>
      </c>
      <c r="C28" s="20" t="s">
        <v>280</v>
      </c>
      <c r="D28" s="7">
        <f>3.75+3.9</f>
        <v>7.65</v>
      </c>
      <c r="E28" s="67">
        <v>46005.0</v>
      </c>
      <c r="F28" s="68" t="s">
        <v>37</v>
      </c>
      <c r="G28" s="27"/>
    </row>
    <row r="29" ht="30.0" customHeight="1">
      <c r="A29" s="7">
        <v>2.0</v>
      </c>
      <c r="B29" s="19">
        <v>9.08121141E8</v>
      </c>
      <c r="C29" s="20" t="s">
        <v>281</v>
      </c>
      <c r="D29" s="7">
        <f>0.95+0.95+0.95+0.45+0.45+0.45</f>
        <v>4.2</v>
      </c>
      <c r="E29" s="67">
        <v>46005.0</v>
      </c>
      <c r="F29" s="68" t="s">
        <v>37</v>
      </c>
      <c r="G29" s="27"/>
    </row>
    <row r="30" ht="30.0" customHeight="1">
      <c r="A30" s="7"/>
      <c r="B30" s="17"/>
      <c r="C30" s="17"/>
      <c r="D30" s="17"/>
      <c r="E30" s="17"/>
      <c r="F30" s="17"/>
      <c r="G30" s="17"/>
    </row>
    <row r="31" ht="30.0" customHeight="1"/>
    <row r="32" ht="30.0" customHeight="1"/>
    <row r="33" ht="30.0" customHeight="1">
      <c r="A33" s="65" t="s">
        <v>1</v>
      </c>
      <c r="B33" s="66" t="s">
        <v>2</v>
      </c>
      <c r="C33" s="65" t="s">
        <v>279</v>
      </c>
      <c r="D33" s="65" t="s">
        <v>5</v>
      </c>
      <c r="E33" s="65" t="s">
        <v>189</v>
      </c>
      <c r="F33" s="25" t="s">
        <v>11</v>
      </c>
      <c r="G33" s="3"/>
    </row>
    <row r="34" ht="30.0" customHeight="1">
      <c r="A34" s="7">
        <v>1.0</v>
      </c>
      <c r="B34" s="19">
        <v>9.05728066E8</v>
      </c>
      <c r="C34" s="20" t="s">
        <v>57</v>
      </c>
      <c r="D34" s="7">
        <f>3+3</f>
        <v>6</v>
      </c>
      <c r="E34" s="67">
        <v>46005.0</v>
      </c>
      <c r="F34" s="68" t="s">
        <v>37</v>
      </c>
      <c r="G34" s="27"/>
    </row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6">
    <mergeCell ref="A1:L1"/>
    <mergeCell ref="F27:G27"/>
    <mergeCell ref="F28:G28"/>
    <mergeCell ref="F29:G29"/>
    <mergeCell ref="F33:G33"/>
    <mergeCell ref="F34:G34"/>
  </mergeCells>
  <printOptions/>
  <pageMargins bottom="0.75" footer="0.0" header="0.0" left="0.7" right="0.7" top="0.75"/>
  <pageSetup scale="27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2.7732432E7</v>
      </c>
      <c r="E3" s="16"/>
      <c r="F3" s="11">
        <v>24.0</v>
      </c>
      <c r="G3" s="12">
        <f t="shared" ref="G3:G4" si="1">E3-F3</f>
        <v>-24</v>
      </c>
      <c r="H3" s="13"/>
      <c r="I3" s="14" t="s">
        <v>14</v>
      </c>
      <c r="J3" s="13">
        <v>45932.0</v>
      </c>
      <c r="K3" s="7" t="s">
        <v>283</v>
      </c>
      <c r="L3" s="17"/>
    </row>
    <row r="4">
      <c r="A4" s="7">
        <v>2.0</v>
      </c>
      <c r="B4" s="8">
        <v>9.08121008E8</v>
      </c>
      <c r="C4" s="9" t="s">
        <v>17</v>
      </c>
      <c r="D4" s="10">
        <v>2.7732432E7</v>
      </c>
      <c r="E4" s="16">
        <v>2.0</v>
      </c>
      <c r="F4" s="11">
        <v>2.0</v>
      </c>
      <c r="G4" s="12">
        <f t="shared" si="1"/>
        <v>0</v>
      </c>
      <c r="H4" s="13">
        <v>45938.0</v>
      </c>
      <c r="I4" s="14" t="s">
        <v>14</v>
      </c>
      <c r="J4" s="13">
        <v>45935.0</v>
      </c>
      <c r="K4" s="7" t="s">
        <v>283</v>
      </c>
      <c r="L4" s="17"/>
    </row>
    <row r="5">
      <c r="A5" s="7"/>
      <c r="B5" s="8"/>
      <c r="C5" s="9"/>
      <c r="D5" s="10"/>
      <c r="E5" s="16"/>
      <c r="F5" s="11"/>
      <c r="G5" s="12"/>
      <c r="H5" s="13"/>
      <c r="I5" s="14"/>
      <c r="J5" s="13"/>
      <c r="K5" s="7"/>
      <c r="L5" s="17"/>
    </row>
    <row r="7">
      <c r="C7" s="36"/>
    </row>
    <row r="10">
      <c r="F10" s="18">
        <v>6.0</v>
      </c>
    </row>
    <row r="14">
      <c r="C14" s="69"/>
      <c r="D14" s="7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2.7803846E7</v>
      </c>
      <c r="E3" s="16">
        <f>1+2</f>
        <v>3</v>
      </c>
      <c r="F3" s="11"/>
      <c r="G3" s="12">
        <f t="shared" ref="G3:G18" si="1">E3-F3</f>
        <v>3</v>
      </c>
      <c r="H3" s="13" t="s">
        <v>285</v>
      </c>
      <c r="I3" s="14" t="s">
        <v>14</v>
      </c>
      <c r="J3" s="13"/>
      <c r="K3" s="7"/>
      <c r="L3" s="17"/>
    </row>
    <row r="4">
      <c r="A4" s="7">
        <v>2.0</v>
      </c>
      <c r="B4" s="19" t="s">
        <v>103</v>
      </c>
      <c r="C4" s="20" t="s">
        <v>104</v>
      </c>
      <c r="D4" s="10">
        <v>2.7803846E7</v>
      </c>
      <c r="E4" s="16">
        <v>1.0</v>
      </c>
      <c r="F4" s="11">
        <v>1.0</v>
      </c>
      <c r="G4" s="12">
        <f t="shared" si="1"/>
        <v>0</v>
      </c>
      <c r="H4" s="13">
        <v>45929.0</v>
      </c>
      <c r="I4" s="14" t="s">
        <v>14</v>
      </c>
      <c r="J4" s="13">
        <v>45946.0</v>
      </c>
      <c r="K4" s="7" t="s">
        <v>283</v>
      </c>
      <c r="L4" s="17"/>
    </row>
    <row r="5">
      <c r="A5" s="7">
        <v>3.0</v>
      </c>
      <c r="B5" s="8">
        <v>9.08121008E8</v>
      </c>
      <c r="C5" s="9" t="s">
        <v>17</v>
      </c>
      <c r="D5" s="10">
        <v>2.7803846E7</v>
      </c>
      <c r="E5" s="16">
        <v>2.0</v>
      </c>
      <c r="F5" s="11">
        <v>2.0</v>
      </c>
      <c r="G5" s="12">
        <f t="shared" si="1"/>
        <v>0</v>
      </c>
      <c r="H5" s="13">
        <v>45938.0</v>
      </c>
      <c r="I5" s="14" t="s">
        <v>14</v>
      </c>
      <c r="J5" s="13">
        <v>45946.0</v>
      </c>
      <c r="K5" s="7" t="s">
        <v>283</v>
      </c>
      <c r="L5" s="17"/>
    </row>
    <row r="6">
      <c r="A6" s="7">
        <v>4.0</v>
      </c>
      <c r="B6" s="19">
        <v>9.0812101E8</v>
      </c>
      <c r="C6" s="20" t="s">
        <v>18</v>
      </c>
      <c r="D6" s="10">
        <v>2.7803846E7</v>
      </c>
      <c r="E6" s="16">
        <v>2.0</v>
      </c>
      <c r="F6" s="11">
        <f>1+1</f>
        <v>2</v>
      </c>
      <c r="G6" s="12">
        <f t="shared" si="1"/>
        <v>0</v>
      </c>
      <c r="H6" s="13">
        <v>45938.0</v>
      </c>
      <c r="I6" s="14" t="s">
        <v>14</v>
      </c>
      <c r="J6" s="13" t="s">
        <v>286</v>
      </c>
      <c r="K6" s="7" t="s">
        <v>287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2.7803846E7</v>
      </c>
      <c r="E7" s="16">
        <v>3.0</v>
      </c>
      <c r="F7" s="11">
        <v>3.0</v>
      </c>
      <c r="G7" s="12">
        <f t="shared" si="1"/>
        <v>0</v>
      </c>
      <c r="H7" s="13">
        <v>45938.0</v>
      </c>
      <c r="I7" s="14" t="s">
        <v>14</v>
      </c>
      <c r="J7" s="13">
        <v>45953.0</v>
      </c>
      <c r="K7" s="7" t="s">
        <v>16</v>
      </c>
      <c r="L7" s="17"/>
    </row>
    <row r="8">
      <c r="A8" s="7">
        <v>6.0</v>
      </c>
      <c r="B8" s="19">
        <v>9.0820203E8</v>
      </c>
      <c r="C8" s="20" t="s">
        <v>19</v>
      </c>
      <c r="D8" s="39" t="s">
        <v>288</v>
      </c>
      <c r="E8" s="16">
        <f t="shared" ref="E8:E9" si="2">2+2</f>
        <v>4</v>
      </c>
      <c r="F8" s="11">
        <v>2.0</v>
      </c>
      <c r="G8" s="12">
        <f t="shared" si="1"/>
        <v>2</v>
      </c>
      <c r="H8" s="13" t="s">
        <v>289</v>
      </c>
      <c r="I8" s="14" t="s">
        <v>14</v>
      </c>
      <c r="J8" s="13">
        <v>45946.0</v>
      </c>
      <c r="K8" s="7" t="s">
        <v>283</v>
      </c>
      <c r="L8" s="17"/>
    </row>
    <row r="9">
      <c r="A9" s="7">
        <v>7.0</v>
      </c>
      <c r="B9" s="19" t="s">
        <v>20</v>
      </c>
      <c r="C9" s="20" t="s">
        <v>21</v>
      </c>
      <c r="D9" s="39" t="s">
        <v>288</v>
      </c>
      <c r="E9" s="16">
        <f t="shared" si="2"/>
        <v>4</v>
      </c>
      <c r="F9" s="11">
        <f>2+2</f>
        <v>4</v>
      </c>
      <c r="G9" s="12">
        <f t="shared" si="1"/>
        <v>0</v>
      </c>
      <c r="H9" s="13" t="s">
        <v>289</v>
      </c>
      <c r="I9" s="14" t="s">
        <v>14</v>
      </c>
      <c r="J9" s="13" t="s">
        <v>290</v>
      </c>
      <c r="K9" s="7" t="s">
        <v>287</v>
      </c>
      <c r="L9" s="17"/>
    </row>
    <row r="10">
      <c r="A10" s="7">
        <v>8.0</v>
      </c>
      <c r="B10" s="19" t="s">
        <v>25</v>
      </c>
      <c r="C10" s="20" t="s">
        <v>26</v>
      </c>
      <c r="D10" s="10"/>
      <c r="E10" s="16"/>
      <c r="F10" s="11">
        <v>6.0</v>
      </c>
      <c r="G10" s="12">
        <f t="shared" si="1"/>
        <v>-6</v>
      </c>
      <c r="H10" s="13"/>
      <c r="I10" s="14" t="s">
        <v>14</v>
      </c>
      <c r="J10" s="13">
        <v>45946.0</v>
      </c>
      <c r="K10" s="7" t="s">
        <v>283</v>
      </c>
      <c r="L10" s="17"/>
    </row>
    <row r="11">
      <c r="A11" s="7">
        <v>9.0</v>
      </c>
      <c r="B11" s="19" t="s">
        <v>27</v>
      </c>
      <c r="C11" s="20" t="s">
        <v>28</v>
      </c>
      <c r="D11" s="10"/>
      <c r="E11" s="16"/>
      <c r="F11" s="11">
        <v>28.0</v>
      </c>
      <c r="G11" s="12">
        <f t="shared" si="1"/>
        <v>-28</v>
      </c>
      <c r="H11" s="13"/>
      <c r="I11" s="14" t="s">
        <v>14</v>
      </c>
      <c r="J11" s="13">
        <v>45946.0</v>
      </c>
      <c r="K11" s="7" t="s">
        <v>283</v>
      </c>
      <c r="L11" s="17"/>
    </row>
    <row r="12">
      <c r="A12" s="7">
        <v>10.0</v>
      </c>
      <c r="B12" s="19">
        <v>9.08111101E8</v>
      </c>
      <c r="C12" s="20" t="s">
        <v>24</v>
      </c>
      <c r="D12" s="10">
        <v>2.7803846E7</v>
      </c>
      <c r="E12" s="16">
        <v>6.0</v>
      </c>
      <c r="F12" s="11">
        <f>6+4</f>
        <v>10</v>
      </c>
      <c r="G12" s="12">
        <f t="shared" si="1"/>
        <v>-4</v>
      </c>
      <c r="H12" s="13">
        <v>45959.0</v>
      </c>
      <c r="I12" s="14" t="s">
        <v>14</v>
      </c>
      <c r="J12" s="13" t="s">
        <v>290</v>
      </c>
      <c r="K12" s="7" t="s">
        <v>287</v>
      </c>
      <c r="L12" s="17"/>
    </row>
    <row r="13">
      <c r="A13" s="7">
        <v>11.0</v>
      </c>
      <c r="B13" s="19">
        <v>9.08202098E8</v>
      </c>
      <c r="C13" s="20" t="s">
        <v>291</v>
      </c>
      <c r="D13" s="10">
        <v>2.7803846E7</v>
      </c>
      <c r="E13" s="16">
        <v>2.0</v>
      </c>
      <c r="F13" s="11">
        <v>2.0</v>
      </c>
      <c r="G13" s="12">
        <f t="shared" si="1"/>
        <v>0</v>
      </c>
      <c r="H13" s="13">
        <v>45949.0</v>
      </c>
      <c r="I13" s="14" t="s">
        <v>14</v>
      </c>
      <c r="J13" s="13">
        <v>45946.0</v>
      </c>
      <c r="K13" s="7" t="s">
        <v>283</v>
      </c>
      <c r="L13" s="17"/>
    </row>
    <row r="14">
      <c r="A14" s="7">
        <v>12.0</v>
      </c>
      <c r="B14" s="19">
        <v>9.08371014E8</v>
      </c>
      <c r="C14" s="20" t="s">
        <v>113</v>
      </c>
      <c r="D14" s="10">
        <v>2.8248755E7</v>
      </c>
      <c r="E14" s="16">
        <v>3.0</v>
      </c>
      <c r="F14" s="11">
        <v>3.0</v>
      </c>
      <c r="G14" s="12">
        <f t="shared" si="1"/>
        <v>0</v>
      </c>
      <c r="H14" s="13">
        <v>46009.0</v>
      </c>
      <c r="I14" s="14" t="s">
        <v>30</v>
      </c>
      <c r="J14" s="13">
        <v>46011.0</v>
      </c>
      <c r="K14" s="7" t="s">
        <v>16</v>
      </c>
      <c r="L14" s="17"/>
    </row>
    <row r="15">
      <c r="A15" s="7">
        <v>13.0</v>
      </c>
      <c r="B15" s="19">
        <v>9.08402208E8</v>
      </c>
      <c r="C15" s="20" t="s">
        <v>111</v>
      </c>
      <c r="D15" s="10">
        <v>2.8248755E7</v>
      </c>
      <c r="E15" s="16">
        <v>3.0</v>
      </c>
      <c r="F15" s="11">
        <v>3.0</v>
      </c>
      <c r="G15" s="12">
        <f t="shared" si="1"/>
        <v>0</v>
      </c>
      <c r="H15" s="13">
        <v>46009.0</v>
      </c>
      <c r="I15" s="14" t="s">
        <v>30</v>
      </c>
      <c r="J15" s="13">
        <v>46011.0</v>
      </c>
      <c r="K15" s="7" t="s">
        <v>16</v>
      </c>
      <c r="L15" s="17"/>
    </row>
    <row r="16">
      <c r="A16" s="7">
        <v>14.0</v>
      </c>
      <c r="B16" s="19">
        <v>9.08421025E8</v>
      </c>
      <c r="C16" s="20" t="s">
        <v>112</v>
      </c>
      <c r="D16" s="10">
        <v>2.8248755E7</v>
      </c>
      <c r="E16" s="16">
        <v>1.0</v>
      </c>
      <c r="F16" s="11">
        <v>1.0</v>
      </c>
      <c r="G16" s="12">
        <f t="shared" si="1"/>
        <v>0</v>
      </c>
      <c r="H16" s="13">
        <v>46009.0</v>
      </c>
      <c r="I16" s="14" t="s">
        <v>30</v>
      </c>
      <c r="J16" s="13">
        <v>46011.0</v>
      </c>
      <c r="K16" s="7" t="s">
        <v>16</v>
      </c>
      <c r="L16" s="17"/>
    </row>
    <row r="17">
      <c r="A17" s="7">
        <v>15.0</v>
      </c>
      <c r="B17" s="19">
        <v>9.08421031E8</v>
      </c>
      <c r="C17" s="20" t="s">
        <v>122</v>
      </c>
      <c r="D17" s="10">
        <v>2.8248755E7</v>
      </c>
      <c r="E17" s="16">
        <v>1.0</v>
      </c>
      <c r="F17" s="11">
        <v>1.0</v>
      </c>
      <c r="G17" s="12">
        <f t="shared" si="1"/>
        <v>0</v>
      </c>
      <c r="H17" s="13">
        <v>46009.0</v>
      </c>
      <c r="I17" s="14" t="s">
        <v>30</v>
      </c>
      <c r="J17" s="13">
        <v>46011.0</v>
      </c>
      <c r="K17" s="7" t="s">
        <v>16</v>
      </c>
      <c r="L17" s="17"/>
    </row>
    <row r="18">
      <c r="A18" s="7">
        <v>16.0</v>
      </c>
      <c r="B18" s="19">
        <v>9.08202189E8</v>
      </c>
      <c r="C18" s="20" t="s">
        <v>55</v>
      </c>
      <c r="D18" s="10">
        <v>2.8248755E7</v>
      </c>
      <c r="E18" s="16">
        <v>2.0</v>
      </c>
      <c r="F18" s="11">
        <v>2.0</v>
      </c>
      <c r="G18" s="12">
        <f t="shared" si="1"/>
        <v>0</v>
      </c>
      <c r="H18" s="13">
        <v>46012.0</v>
      </c>
      <c r="I18" s="14" t="s">
        <v>30</v>
      </c>
      <c r="J18" s="13">
        <v>46011.0</v>
      </c>
      <c r="K18" s="7" t="s">
        <v>16</v>
      </c>
      <c r="L18" s="17"/>
    </row>
    <row r="19" ht="28.5" customHeight="1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ht="28.5" customHeight="1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ht="15.75" customHeight="1">
      <c r="A21" s="7"/>
      <c r="B21" s="19">
        <v>9.08121003E8</v>
      </c>
      <c r="C21" s="20" t="s">
        <v>75</v>
      </c>
      <c r="D21" s="10"/>
      <c r="E21" s="16"/>
      <c r="F21" s="11">
        <v>1.0</v>
      </c>
      <c r="G21" s="12">
        <f t="shared" ref="G21:G24" si="3">E21-F21</f>
        <v>-1</v>
      </c>
      <c r="H21" s="13"/>
      <c r="I21" s="14"/>
      <c r="J21" s="13">
        <v>46013.0</v>
      </c>
      <c r="K21" s="7" t="s">
        <v>16</v>
      </c>
      <c r="L21" s="17"/>
    </row>
    <row r="22" ht="15.75" customHeight="1">
      <c r="A22" s="7"/>
      <c r="B22" s="19">
        <v>9.08121001E8</v>
      </c>
      <c r="C22" s="20" t="s">
        <v>292</v>
      </c>
      <c r="D22" s="10"/>
      <c r="E22" s="16"/>
      <c r="F22" s="11">
        <v>1.0</v>
      </c>
      <c r="G22" s="12">
        <f t="shared" si="3"/>
        <v>-1</v>
      </c>
      <c r="H22" s="13"/>
      <c r="I22" s="14"/>
      <c r="J22" s="13">
        <v>46013.0</v>
      </c>
      <c r="K22" s="7" t="s">
        <v>16</v>
      </c>
      <c r="L22" s="17"/>
    </row>
    <row r="23" ht="15.75" customHeight="1">
      <c r="A23" s="7"/>
      <c r="B23" s="19" t="s">
        <v>25</v>
      </c>
      <c r="C23" s="20" t="s">
        <v>26</v>
      </c>
      <c r="D23" s="10"/>
      <c r="E23" s="16"/>
      <c r="F23" s="11">
        <v>5.0</v>
      </c>
      <c r="G23" s="12">
        <f t="shared" si="3"/>
        <v>-5</v>
      </c>
      <c r="H23" s="13"/>
      <c r="I23" s="14"/>
      <c r="J23" s="13">
        <v>46013.0</v>
      </c>
      <c r="K23" s="7" t="s">
        <v>16</v>
      </c>
      <c r="L23" s="17"/>
    </row>
    <row r="24" ht="15.75" customHeight="1">
      <c r="A24" s="7"/>
      <c r="B24" s="19" t="s">
        <v>27</v>
      </c>
      <c r="C24" s="20" t="s">
        <v>28</v>
      </c>
      <c r="D24" s="10"/>
      <c r="E24" s="16"/>
      <c r="F24" s="11">
        <v>13.0</v>
      </c>
      <c r="G24" s="12">
        <f t="shared" si="3"/>
        <v>-13</v>
      </c>
      <c r="H24" s="13"/>
      <c r="I24" s="14"/>
      <c r="J24" s="13">
        <v>46013.0</v>
      </c>
      <c r="K24" s="7" t="s">
        <v>16</v>
      </c>
      <c r="L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9:L20"/>
  </mergeCells>
  <printOptions/>
  <pageMargins bottom="0.75" footer="0.0" header="0.0" left="0.7" right="0.7" top="0.75"/>
  <pageSetup scale="27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2.7767169E7</v>
      </c>
      <c r="E3" s="16">
        <v>1.0</v>
      </c>
      <c r="F3" s="11"/>
      <c r="G3" s="12">
        <f t="shared" ref="G3:G13" si="1">E3-F3</f>
        <v>1</v>
      </c>
      <c r="H3" s="13">
        <v>45929.0</v>
      </c>
      <c r="I3" s="14" t="s">
        <v>14</v>
      </c>
      <c r="J3" s="13">
        <v>45941.0</v>
      </c>
      <c r="K3" s="7" t="s">
        <v>294</v>
      </c>
      <c r="L3" s="17"/>
    </row>
    <row r="4">
      <c r="A4" s="7">
        <v>2.0</v>
      </c>
      <c r="B4" s="19" t="s">
        <v>103</v>
      </c>
      <c r="C4" s="20" t="s">
        <v>104</v>
      </c>
      <c r="D4" s="10">
        <v>2.7767169E7</v>
      </c>
      <c r="E4" s="16">
        <v>1.0</v>
      </c>
      <c r="F4" s="11">
        <v>1.0</v>
      </c>
      <c r="G4" s="12">
        <f t="shared" si="1"/>
        <v>0</v>
      </c>
      <c r="H4" s="13">
        <v>45929.0</v>
      </c>
      <c r="I4" s="14" t="s">
        <v>14</v>
      </c>
      <c r="J4" s="13">
        <v>45941.0</v>
      </c>
      <c r="K4" s="7" t="s">
        <v>294</v>
      </c>
      <c r="L4" s="17"/>
    </row>
    <row r="5">
      <c r="A5" s="7">
        <v>3.0</v>
      </c>
      <c r="B5" s="8">
        <v>9.08121008E8</v>
      </c>
      <c r="C5" s="9" t="s">
        <v>17</v>
      </c>
      <c r="D5" s="10">
        <v>2.7767169E7</v>
      </c>
      <c r="E5" s="16">
        <v>2.0</v>
      </c>
      <c r="F5" s="11">
        <v>2.0</v>
      </c>
      <c r="G5" s="12">
        <f t="shared" si="1"/>
        <v>0</v>
      </c>
      <c r="H5" s="13">
        <v>45938.0</v>
      </c>
      <c r="I5" s="14" t="s">
        <v>14</v>
      </c>
      <c r="J5" s="13">
        <v>45941.0</v>
      </c>
      <c r="K5" s="7" t="s">
        <v>294</v>
      </c>
      <c r="L5" s="17"/>
    </row>
    <row r="6">
      <c r="A6" s="7">
        <v>4.0</v>
      </c>
      <c r="B6" s="8">
        <v>9.0812101E8</v>
      </c>
      <c r="C6" s="9" t="s">
        <v>18</v>
      </c>
      <c r="D6" s="10">
        <v>2.7767169E7</v>
      </c>
      <c r="E6" s="16">
        <v>2.0</v>
      </c>
      <c r="F6" s="11">
        <f>1+1</f>
        <v>2</v>
      </c>
      <c r="G6" s="12">
        <f t="shared" si="1"/>
        <v>0</v>
      </c>
      <c r="H6" s="13">
        <v>45938.0</v>
      </c>
      <c r="I6" s="14" t="s">
        <v>14</v>
      </c>
      <c r="J6" s="13" t="s">
        <v>295</v>
      </c>
      <c r="K6" s="7" t="s">
        <v>294</v>
      </c>
      <c r="L6" s="17"/>
    </row>
    <row r="7">
      <c r="A7" s="7">
        <v>5.0</v>
      </c>
      <c r="B7" s="8">
        <v>9.08122011E8</v>
      </c>
      <c r="C7" s="9" t="s">
        <v>23</v>
      </c>
      <c r="D7" s="10">
        <v>2.7767169E7</v>
      </c>
      <c r="E7" s="16">
        <v>3.0</v>
      </c>
      <c r="F7" s="11">
        <v>3.0</v>
      </c>
      <c r="G7" s="12">
        <f t="shared" si="1"/>
        <v>0</v>
      </c>
      <c r="H7" s="13">
        <v>45938.0</v>
      </c>
      <c r="I7" s="14" t="s">
        <v>14</v>
      </c>
      <c r="J7" s="13" t="s">
        <v>295</v>
      </c>
      <c r="K7" s="7" t="s">
        <v>294</v>
      </c>
      <c r="L7" s="17"/>
    </row>
    <row r="8">
      <c r="A8" s="7">
        <v>6.0</v>
      </c>
      <c r="B8" s="8">
        <v>9.0820203E8</v>
      </c>
      <c r="C8" s="9" t="s">
        <v>19</v>
      </c>
      <c r="D8" s="10">
        <v>2.7767169E7</v>
      </c>
      <c r="E8" s="16">
        <v>2.0</v>
      </c>
      <c r="F8" s="11">
        <v>2.0</v>
      </c>
      <c r="G8" s="12">
        <f t="shared" si="1"/>
        <v>0</v>
      </c>
      <c r="H8" s="13">
        <v>45938.0</v>
      </c>
      <c r="I8" s="14" t="s">
        <v>14</v>
      </c>
      <c r="J8" s="13">
        <v>45941.0</v>
      </c>
      <c r="K8" s="7" t="s">
        <v>294</v>
      </c>
      <c r="L8" s="17"/>
    </row>
    <row r="9">
      <c r="A9" s="7">
        <v>7.0</v>
      </c>
      <c r="B9" s="8" t="s">
        <v>20</v>
      </c>
      <c r="C9" s="9" t="s">
        <v>21</v>
      </c>
      <c r="D9" s="10">
        <v>2.7767169E7</v>
      </c>
      <c r="E9" s="16">
        <v>2.0</v>
      </c>
      <c r="F9" s="11">
        <v>2.0</v>
      </c>
      <c r="G9" s="12">
        <f t="shared" si="1"/>
        <v>0</v>
      </c>
      <c r="H9" s="13">
        <v>45938.0</v>
      </c>
      <c r="I9" s="14" t="s">
        <v>14</v>
      </c>
      <c r="J9" s="13">
        <v>45941.0</v>
      </c>
      <c r="K9" s="7" t="s">
        <v>294</v>
      </c>
      <c r="L9" s="17"/>
    </row>
    <row r="10">
      <c r="A10" s="7">
        <v>8.0</v>
      </c>
      <c r="B10" s="8">
        <v>9.08111007E8</v>
      </c>
      <c r="C10" s="9" t="s">
        <v>296</v>
      </c>
      <c r="D10" s="10">
        <v>2.7767169E7</v>
      </c>
      <c r="E10" s="16">
        <v>48.0</v>
      </c>
      <c r="F10" s="11">
        <v>6.0</v>
      </c>
      <c r="G10" s="12">
        <f t="shared" si="1"/>
        <v>42</v>
      </c>
      <c r="H10" s="13">
        <v>45924.0</v>
      </c>
      <c r="I10" s="14" t="s">
        <v>14</v>
      </c>
      <c r="J10" s="13">
        <v>45941.0</v>
      </c>
      <c r="K10" s="7" t="s">
        <v>294</v>
      </c>
      <c r="L10" s="17"/>
    </row>
    <row r="11">
      <c r="A11" s="7">
        <v>9.0</v>
      </c>
      <c r="B11" s="8">
        <v>9.08111005E8</v>
      </c>
      <c r="C11" s="9" t="s">
        <v>297</v>
      </c>
      <c r="D11" s="10">
        <v>2.7767169E7</v>
      </c>
      <c r="E11" s="16">
        <v>57.0</v>
      </c>
      <c r="F11" s="11">
        <v>57.0</v>
      </c>
      <c r="G11" s="12">
        <f t="shared" si="1"/>
        <v>0</v>
      </c>
      <c r="H11" s="13">
        <v>45924.0</v>
      </c>
      <c r="I11" s="14" t="s">
        <v>14</v>
      </c>
      <c r="J11" s="13">
        <v>45941.0</v>
      </c>
      <c r="K11" s="7" t="s">
        <v>294</v>
      </c>
      <c r="L11" s="17"/>
    </row>
    <row r="12">
      <c r="A12" s="7">
        <v>10.0</v>
      </c>
      <c r="B12" s="8">
        <v>9.08111101E8</v>
      </c>
      <c r="C12" s="9" t="s">
        <v>298</v>
      </c>
      <c r="D12" s="10">
        <v>2.7767169E7</v>
      </c>
      <c r="E12" s="16">
        <v>6.0</v>
      </c>
      <c r="F12" s="11">
        <v>6.0</v>
      </c>
      <c r="G12" s="12">
        <f t="shared" si="1"/>
        <v>0</v>
      </c>
      <c r="H12" s="13">
        <v>45924.0</v>
      </c>
      <c r="I12" s="14" t="s">
        <v>14</v>
      </c>
      <c r="J12" s="13">
        <v>45941.0</v>
      </c>
      <c r="K12" s="7" t="s">
        <v>294</v>
      </c>
      <c r="L12" s="17"/>
    </row>
    <row r="13">
      <c r="A13" s="7">
        <v>11.0</v>
      </c>
      <c r="B13" s="8">
        <v>9.08202098E8</v>
      </c>
      <c r="C13" s="9" t="s">
        <v>291</v>
      </c>
      <c r="D13" s="10">
        <v>2.7767169E7</v>
      </c>
      <c r="E13" s="16">
        <v>2.0</v>
      </c>
      <c r="F13" s="11">
        <v>2.0</v>
      </c>
      <c r="G13" s="12">
        <f t="shared" si="1"/>
        <v>0</v>
      </c>
      <c r="H13" s="13">
        <v>45949.0</v>
      </c>
      <c r="I13" s="14" t="s">
        <v>14</v>
      </c>
      <c r="J13" s="13">
        <v>45941.0</v>
      </c>
      <c r="K13" s="7" t="s">
        <v>294</v>
      </c>
      <c r="L13" s="17"/>
    </row>
    <row r="15">
      <c r="A15" s="77">
        <v>1.0</v>
      </c>
      <c r="B15" s="78">
        <v>9.08111007E8</v>
      </c>
      <c r="C15" s="79" t="s">
        <v>299</v>
      </c>
      <c r="D15" s="80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2.7767159E7</v>
      </c>
      <c r="E3" s="16">
        <v>1.0</v>
      </c>
      <c r="F3" s="11"/>
      <c r="G3" s="12">
        <f t="shared" ref="G3:G12" si="1">E3-F3</f>
        <v>1</v>
      </c>
      <c r="H3" s="13">
        <v>45929.0</v>
      </c>
      <c r="I3" s="14" t="s">
        <v>14</v>
      </c>
      <c r="J3" s="13"/>
      <c r="K3" s="7"/>
      <c r="L3" s="17"/>
    </row>
    <row r="4">
      <c r="A4" s="7">
        <v>2.0</v>
      </c>
      <c r="B4" s="19" t="s">
        <v>103</v>
      </c>
      <c r="C4" s="20" t="s">
        <v>104</v>
      </c>
      <c r="D4" s="10">
        <v>2.7767159E7</v>
      </c>
      <c r="E4" s="16">
        <v>1.0</v>
      </c>
      <c r="F4" s="11">
        <v>1.0</v>
      </c>
      <c r="G4" s="12">
        <f t="shared" si="1"/>
        <v>0</v>
      </c>
      <c r="H4" s="13">
        <v>45929.0</v>
      </c>
      <c r="I4" s="14" t="s">
        <v>14</v>
      </c>
      <c r="J4" s="13" t="s">
        <v>301</v>
      </c>
      <c r="K4" s="7" t="s">
        <v>16</v>
      </c>
      <c r="L4" s="17"/>
    </row>
    <row r="5">
      <c r="A5" s="7">
        <v>3.0</v>
      </c>
      <c r="B5" s="8">
        <v>9.08121008E8</v>
      </c>
      <c r="C5" s="9" t="s">
        <v>17</v>
      </c>
      <c r="D5" s="10">
        <v>2.7767159E7</v>
      </c>
      <c r="E5" s="16">
        <v>2.0</v>
      </c>
      <c r="F5" s="11">
        <v>2.0</v>
      </c>
      <c r="G5" s="12">
        <f t="shared" si="1"/>
        <v>0</v>
      </c>
      <c r="H5" s="13">
        <v>45938.0</v>
      </c>
      <c r="I5" s="14" t="s">
        <v>14</v>
      </c>
      <c r="J5" s="13" t="s">
        <v>301</v>
      </c>
      <c r="K5" s="7" t="s">
        <v>16</v>
      </c>
      <c r="L5" s="17"/>
    </row>
    <row r="6">
      <c r="A6" s="7">
        <v>4.0</v>
      </c>
      <c r="B6" s="8">
        <v>9.0812101E8</v>
      </c>
      <c r="C6" s="9" t="s">
        <v>18</v>
      </c>
      <c r="D6" s="10">
        <v>2.7767159E7</v>
      </c>
      <c r="E6" s="16">
        <v>2.0</v>
      </c>
      <c r="F6" s="11">
        <f>1+1</f>
        <v>2</v>
      </c>
      <c r="G6" s="12">
        <f t="shared" si="1"/>
        <v>0</v>
      </c>
      <c r="H6" s="13">
        <v>45938.0</v>
      </c>
      <c r="I6" s="14" t="s">
        <v>14</v>
      </c>
      <c r="J6" s="13" t="s">
        <v>302</v>
      </c>
      <c r="K6" s="7" t="s">
        <v>16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2.7767159E7</v>
      </c>
      <c r="E7" s="16">
        <v>3.0</v>
      </c>
      <c r="F7" s="11">
        <v>3.0</v>
      </c>
      <c r="G7" s="12">
        <f t="shared" si="1"/>
        <v>0</v>
      </c>
      <c r="H7" s="13">
        <v>45938.0</v>
      </c>
      <c r="I7" s="14" t="s">
        <v>14</v>
      </c>
      <c r="J7" s="13">
        <v>45953.0</v>
      </c>
      <c r="K7" s="7" t="s">
        <v>16</v>
      </c>
      <c r="L7" s="17"/>
    </row>
    <row r="8">
      <c r="A8" s="7">
        <v>6.0</v>
      </c>
      <c r="B8" s="8">
        <v>9.0820203E8</v>
      </c>
      <c r="C8" s="9" t="s">
        <v>19</v>
      </c>
      <c r="D8" s="10">
        <v>2.7767159E7</v>
      </c>
      <c r="E8" s="16">
        <v>2.0</v>
      </c>
      <c r="F8" s="11">
        <v>2.0</v>
      </c>
      <c r="G8" s="12">
        <f t="shared" si="1"/>
        <v>0</v>
      </c>
      <c r="H8" s="13">
        <v>45938.0</v>
      </c>
      <c r="I8" s="14" t="s">
        <v>14</v>
      </c>
      <c r="J8" s="13" t="s">
        <v>301</v>
      </c>
      <c r="K8" s="7" t="s">
        <v>16</v>
      </c>
      <c r="L8" s="17"/>
    </row>
    <row r="9">
      <c r="A9" s="7">
        <v>7.0</v>
      </c>
      <c r="B9" s="19" t="s">
        <v>20</v>
      </c>
      <c r="C9" s="20" t="s">
        <v>21</v>
      </c>
      <c r="D9" s="10">
        <v>2.7767159E7</v>
      </c>
      <c r="E9" s="16">
        <v>2.0</v>
      </c>
      <c r="F9" s="11">
        <v>2.0</v>
      </c>
      <c r="G9" s="12">
        <f t="shared" si="1"/>
        <v>0</v>
      </c>
      <c r="H9" s="13">
        <v>45938.0</v>
      </c>
      <c r="I9" s="14" t="s">
        <v>14</v>
      </c>
      <c r="J9" s="13" t="s">
        <v>301</v>
      </c>
      <c r="K9" s="7" t="s">
        <v>16</v>
      </c>
      <c r="L9" s="17"/>
    </row>
    <row r="10">
      <c r="A10" s="7">
        <v>8.0</v>
      </c>
      <c r="B10" s="19" t="s">
        <v>25</v>
      </c>
      <c r="C10" s="20" t="s">
        <v>26</v>
      </c>
      <c r="D10" s="10"/>
      <c r="E10" s="16">
        <v>83.0</v>
      </c>
      <c r="F10" s="11">
        <v>6.0</v>
      </c>
      <c r="G10" s="12">
        <f t="shared" si="1"/>
        <v>77</v>
      </c>
      <c r="H10" s="13"/>
      <c r="I10" s="14"/>
      <c r="J10" s="13" t="s">
        <v>301</v>
      </c>
      <c r="K10" s="7" t="s">
        <v>16</v>
      </c>
      <c r="L10" s="17"/>
    </row>
    <row r="11">
      <c r="A11" s="7">
        <v>9.0</v>
      </c>
      <c r="B11" s="19" t="s">
        <v>27</v>
      </c>
      <c r="C11" s="20" t="s">
        <v>28</v>
      </c>
      <c r="D11" s="10"/>
      <c r="E11" s="16">
        <v>31.0</v>
      </c>
      <c r="F11" s="11">
        <v>31.0</v>
      </c>
      <c r="G11" s="12">
        <f t="shared" si="1"/>
        <v>0</v>
      </c>
      <c r="H11" s="13"/>
      <c r="I11" s="14"/>
      <c r="J11" s="13" t="s">
        <v>301</v>
      </c>
      <c r="K11" s="7" t="s">
        <v>16</v>
      </c>
      <c r="L11" s="17"/>
    </row>
    <row r="12">
      <c r="A12" s="7">
        <v>10.0</v>
      </c>
      <c r="B12" s="19">
        <v>9.08202098E8</v>
      </c>
      <c r="C12" s="20" t="s">
        <v>22</v>
      </c>
      <c r="D12" s="10">
        <v>2.7767159E7</v>
      </c>
      <c r="E12" s="16">
        <v>2.0</v>
      </c>
      <c r="F12" s="11">
        <v>2.0</v>
      </c>
      <c r="G12" s="12">
        <f t="shared" si="1"/>
        <v>0</v>
      </c>
      <c r="H12" s="13">
        <v>45949.0</v>
      </c>
      <c r="I12" s="14" t="s">
        <v>14</v>
      </c>
      <c r="J12" s="13" t="s">
        <v>301</v>
      </c>
      <c r="K12" s="7" t="s">
        <v>16</v>
      </c>
      <c r="L12" s="17"/>
    </row>
    <row r="13">
      <c r="A13" s="7">
        <v>11.0</v>
      </c>
      <c r="B13" s="19">
        <v>9.08111101E8</v>
      </c>
      <c r="C13" s="20" t="s">
        <v>24</v>
      </c>
      <c r="D13" s="10"/>
      <c r="E13" s="16"/>
      <c r="F13" s="11">
        <v>6.0</v>
      </c>
      <c r="G13" s="12"/>
      <c r="H13" s="13"/>
      <c r="I13" s="14"/>
      <c r="J13" s="13" t="s">
        <v>301</v>
      </c>
      <c r="K13" s="7" t="s">
        <v>16</v>
      </c>
      <c r="L13" s="17"/>
    </row>
    <row r="14">
      <c r="A14" s="7">
        <v>12.0</v>
      </c>
      <c r="B14" s="19">
        <v>9.08371012E8</v>
      </c>
      <c r="C14" s="20" t="s">
        <v>150</v>
      </c>
      <c r="D14" s="10"/>
      <c r="E14" s="16"/>
      <c r="F14" s="11"/>
      <c r="G14" s="12"/>
      <c r="H14" s="13"/>
      <c r="I14" s="14"/>
      <c r="J14" s="13"/>
      <c r="K14" s="7"/>
      <c r="L14" s="17"/>
    </row>
    <row r="15">
      <c r="A15" s="7">
        <v>13.0</v>
      </c>
      <c r="B15" s="19">
        <v>9.08371013E8</v>
      </c>
      <c r="C15" s="20" t="s">
        <v>121</v>
      </c>
      <c r="D15" s="10"/>
      <c r="E15" s="16"/>
      <c r="F15" s="11">
        <v>5.0</v>
      </c>
      <c r="G15" s="12">
        <f t="shared" ref="G15:G20" si="2">E15-F15</f>
        <v>-5</v>
      </c>
      <c r="H15" s="13"/>
      <c r="I15" s="14"/>
      <c r="J15" s="13">
        <v>46027.0</v>
      </c>
      <c r="K15" s="7" t="s">
        <v>16</v>
      </c>
      <c r="L15" s="17"/>
    </row>
    <row r="16">
      <c r="A16" s="7">
        <v>14.0</v>
      </c>
      <c r="B16" s="19">
        <v>9.08402208E8</v>
      </c>
      <c r="C16" s="20" t="s">
        <v>111</v>
      </c>
      <c r="D16" s="10"/>
      <c r="E16" s="16"/>
      <c r="F16" s="11">
        <v>5.0</v>
      </c>
      <c r="G16" s="12">
        <f t="shared" si="2"/>
        <v>-5</v>
      </c>
      <c r="H16" s="13"/>
      <c r="I16" s="14"/>
      <c r="J16" s="13">
        <v>46027.0</v>
      </c>
      <c r="K16" s="7" t="s">
        <v>16</v>
      </c>
      <c r="L16" s="17"/>
    </row>
    <row r="17">
      <c r="A17" s="7">
        <v>15.0</v>
      </c>
      <c r="B17" s="19">
        <v>9.08421025E8</v>
      </c>
      <c r="C17" s="20" t="s">
        <v>112</v>
      </c>
      <c r="D17" s="10"/>
      <c r="E17" s="16"/>
      <c r="F17" s="11">
        <v>1.0</v>
      </c>
      <c r="G17" s="12">
        <f t="shared" si="2"/>
        <v>-1</v>
      </c>
      <c r="H17" s="13"/>
      <c r="I17" s="14"/>
      <c r="J17" s="13">
        <v>46027.0</v>
      </c>
      <c r="K17" s="7" t="s">
        <v>16</v>
      </c>
      <c r="L17" s="17"/>
    </row>
    <row r="18">
      <c r="A18" s="7">
        <v>16.0</v>
      </c>
      <c r="B18" s="19">
        <v>9.08421031E8</v>
      </c>
      <c r="C18" s="20" t="s">
        <v>122</v>
      </c>
      <c r="D18" s="10"/>
      <c r="E18" s="16"/>
      <c r="F18" s="11">
        <v>2.0</v>
      </c>
      <c r="G18" s="12">
        <f t="shared" si="2"/>
        <v>-2</v>
      </c>
      <c r="H18" s="13"/>
      <c r="I18" s="14"/>
      <c r="J18" s="13">
        <v>46027.0</v>
      </c>
      <c r="K18" s="7" t="s">
        <v>16</v>
      </c>
      <c r="L18" s="17"/>
    </row>
    <row r="19">
      <c r="A19" s="7">
        <v>17.0</v>
      </c>
      <c r="B19" s="19" t="s">
        <v>20</v>
      </c>
      <c r="C19" s="20" t="s">
        <v>21</v>
      </c>
      <c r="D19" s="10"/>
      <c r="E19" s="16"/>
      <c r="F19" s="11">
        <v>3.0</v>
      </c>
      <c r="G19" s="12">
        <f t="shared" si="2"/>
        <v>-3</v>
      </c>
      <c r="H19" s="13"/>
      <c r="I19" s="14"/>
      <c r="J19" s="13">
        <v>46027.0</v>
      </c>
      <c r="K19" s="7" t="s">
        <v>16</v>
      </c>
      <c r="L19" s="17"/>
    </row>
    <row r="20">
      <c r="A20" s="7">
        <v>18.0</v>
      </c>
      <c r="B20" s="19">
        <v>9.08202189E8</v>
      </c>
      <c r="C20" s="20" t="s">
        <v>55</v>
      </c>
      <c r="D20" s="10"/>
      <c r="E20" s="16"/>
      <c r="F20" s="11">
        <v>3.0</v>
      </c>
      <c r="G20" s="12">
        <f t="shared" si="2"/>
        <v>-3</v>
      </c>
      <c r="H20" s="13"/>
      <c r="I20" s="14"/>
      <c r="J20" s="13">
        <v>46027.0</v>
      </c>
      <c r="K20" s="7" t="s">
        <v>16</v>
      </c>
      <c r="L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2.7713115E7</v>
      </c>
      <c r="E3" s="16">
        <v>1.0</v>
      </c>
      <c r="F3" s="11"/>
      <c r="G3" s="12">
        <f t="shared" ref="G3:G18" si="1">E3-F3</f>
        <v>1</v>
      </c>
      <c r="H3" s="13">
        <v>45914.0</v>
      </c>
      <c r="I3" s="14" t="s">
        <v>14</v>
      </c>
      <c r="J3" s="13"/>
      <c r="K3" s="7"/>
      <c r="L3" s="17"/>
    </row>
    <row r="4">
      <c r="A4" s="7">
        <v>2.0</v>
      </c>
      <c r="B4" s="19" t="s">
        <v>103</v>
      </c>
      <c r="C4" s="20" t="s">
        <v>104</v>
      </c>
      <c r="D4" s="10">
        <v>2.7713115E7</v>
      </c>
      <c r="E4" s="16">
        <v>1.0</v>
      </c>
      <c r="F4" s="11">
        <v>1.0</v>
      </c>
      <c r="G4" s="12">
        <f t="shared" si="1"/>
        <v>0</v>
      </c>
      <c r="H4" s="13">
        <v>45914.0</v>
      </c>
      <c r="I4" s="14" t="s">
        <v>14</v>
      </c>
      <c r="J4" s="13">
        <v>45931.0</v>
      </c>
      <c r="K4" s="7" t="s">
        <v>283</v>
      </c>
      <c r="L4" s="17"/>
    </row>
    <row r="5">
      <c r="A5" s="7">
        <v>3.0</v>
      </c>
      <c r="B5" s="8">
        <v>9.08121008E8</v>
      </c>
      <c r="C5" s="9" t="s">
        <v>17</v>
      </c>
      <c r="D5" s="10">
        <v>2.7713115E7</v>
      </c>
      <c r="E5" s="16">
        <v>2.0</v>
      </c>
      <c r="F5" s="11">
        <v>2.0</v>
      </c>
      <c r="G5" s="12">
        <f t="shared" si="1"/>
        <v>0</v>
      </c>
      <c r="H5" s="13">
        <v>45916.0</v>
      </c>
      <c r="I5" s="14" t="s">
        <v>14</v>
      </c>
      <c r="J5" s="13">
        <v>45931.0</v>
      </c>
      <c r="K5" s="7" t="s">
        <v>283</v>
      </c>
      <c r="L5" s="17"/>
    </row>
    <row r="6">
      <c r="A6" s="7">
        <v>4.0</v>
      </c>
      <c r="B6" s="8">
        <v>9.0812101E8</v>
      </c>
      <c r="C6" s="9" t="s">
        <v>18</v>
      </c>
      <c r="D6" s="10">
        <v>2.7713115E7</v>
      </c>
      <c r="E6" s="16">
        <v>2.0</v>
      </c>
      <c r="F6" s="11">
        <f>1+1</f>
        <v>2</v>
      </c>
      <c r="G6" s="12">
        <f t="shared" si="1"/>
        <v>0</v>
      </c>
      <c r="H6" s="13">
        <v>45916.0</v>
      </c>
      <c r="I6" s="14" t="s">
        <v>14</v>
      </c>
      <c r="J6" s="13" t="s">
        <v>304</v>
      </c>
      <c r="K6" s="51" t="s">
        <v>287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2.7713115E7</v>
      </c>
      <c r="E7" s="16">
        <v>3.0</v>
      </c>
      <c r="F7" s="11">
        <v>3.0</v>
      </c>
      <c r="G7" s="12">
        <f t="shared" si="1"/>
        <v>0</v>
      </c>
      <c r="H7" s="13">
        <v>45916.0</v>
      </c>
      <c r="I7" s="14" t="s">
        <v>14</v>
      </c>
      <c r="J7" s="13">
        <v>45939.0</v>
      </c>
      <c r="K7" s="7" t="s">
        <v>16</v>
      </c>
      <c r="L7" s="17"/>
    </row>
    <row r="8">
      <c r="A8" s="7">
        <v>6.0</v>
      </c>
      <c r="B8" s="8">
        <v>9.0820203E8</v>
      </c>
      <c r="C8" s="9" t="s">
        <v>19</v>
      </c>
      <c r="D8" s="39" t="s">
        <v>305</v>
      </c>
      <c r="E8" s="16">
        <f t="shared" ref="E8:E9" si="2">2+1</f>
        <v>3</v>
      </c>
      <c r="F8" s="11">
        <v>2.0</v>
      </c>
      <c r="G8" s="12">
        <f t="shared" si="1"/>
        <v>1</v>
      </c>
      <c r="H8" s="13" t="s">
        <v>306</v>
      </c>
      <c r="I8" s="14" t="s">
        <v>14</v>
      </c>
      <c r="J8" s="13">
        <v>45931.0</v>
      </c>
      <c r="K8" s="7" t="s">
        <v>283</v>
      </c>
      <c r="L8" s="17"/>
    </row>
    <row r="9">
      <c r="A9" s="7">
        <v>7.0</v>
      </c>
      <c r="B9" s="19" t="s">
        <v>20</v>
      </c>
      <c r="C9" s="20" t="s">
        <v>21</v>
      </c>
      <c r="D9" s="39" t="s">
        <v>305</v>
      </c>
      <c r="E9" s="16">
        <f t="shared" si="2"/>
        <v>3</v>
      </c>
      <c r="F9" s="11">
        <f>2+2</f>
        <v>4</v>
      </c>
      <c r="G9" s="12">
        <f t="shared" si="1"/>
        <v>-1</v>
      </c>
      <c r="H9" s="13" t="s">
        <v>306</v>
      </c>
      <c r="I9" s="14" t="s">
        <v>14</v>
      </c>
      <c r="J9" s="13" t="s">
        <v>307</v>
      </c>
      <c r="K9" s="7" t="s">
        <v>283</v>
      </c>
      <c r="L9" s="17"/>
    </row>
    <row r="10">
      <c r="A10" s="7">
        <v>8.0</v>
      </c>
      <c r="B10" s="8">
        <v>9.08202098E8</v>
      </c>
      <c r="C10" s="9" t="s">
        <v>22</v>
      </c>
      <c r="D10" s="10">
        <v>2.7713115E7</v>
      </c>
      <c r="E10" s="16">
        <v>2.0</v>
      </c>
      <c r="F10" s="11">
        <v>6.0</v>
      </c>
      <c r="G10" s="12">
        <f t="shared" si="1"/>
        <v>-4</v>
      </c>
      <c r="H10" s="13">
        <v>45916.0</v>
      </c>
      <c r="I10" s="14" t="s">
        <v>14</v>
      </c>
      <c r="J10" s="13">
        <v>45931.0</v>
      </c>
      <c r="K10" s="7" t="s">
        <v>283</v>
      </c>
      <c r="L10" s="17"/>
    </row>
    <row r="11">
      <c r="A11" s="7">
        <v>9.0</v>
      </c>
      <c r="B11" s="8">
        <v>9.08372001E8</v>
      </c>
      <c r="C11" s="9" t="s">
        <v>90</v>
      </c>
      <c r="D11" s="10">
        <v>2.7713115E7</v>
      </c>
      <c r="E11" s="16">
        <v>1.0</v>
      </c>
      <c r="F11" s="11">
        <v>1.0</v>
      </c>
      <c r="G11" s="12">
        <f t="shared" si="1"/>
        <v>0</v>
      </c>
      <c r="H11" s="13">
        <v>45916.0</v>
      </c>
      <c r="I11" s="14" t="s">
        <v>14</v>
      </c>
      <c r="J11" s="13">
        <v>45939.0</v>
      </c>
      <c r="K11" s="7" t="s">
        <v>16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2.7713115E7</v>
      </c>
      <c r="E12" s="16">
        <v>38.0</v>
      </c>
      <c r="F12" s="11">
        <v>38.0</v>
      </c>
      <c r="G12" s="12">
        <f t="shared" si="1"/>
        <v>0</v>
      </c>
      <c r="H12" s="13">
        <v>45915.0</v>
      </c>
      <c r="I12" s="14" t="s">
        <v>14</v>
      </c>
      <c r="J12" s="13">
        <v>45931.0</v>
      </c>
      <c r="K12" s="7" t="s">
        <v>283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2.7713115E7</v>
      </c>
      <c r="E13" s="16">
        <v>93.0</v>
      </c>
      <c r="F13" s="11">
        <v>84.0</v>
      </c>
      <c r="G13" s="12">
        <f t="shared" si="1"/>
        <v>9</v>
      </c>
      <c r="H13" s="13">
        <v>45915.0</v>
      </c>
      <c r="I13" s="14" t="s">
        <v>14</v>
      </c>
      <c r="J13" s="13">
        <v>45931.0</v>
      </c>
      <c r="K13" s="7" t="s">
        <v>283</v>
      </c>
      <c r="L13" s="17"/>
    </row>
    <row r="14">
      <c r="A14" s="7">
        <v>12.0</v>
      </c>
      <c r="B14" s="8">
        <v>9.08111101E8</v>
      </c>
      <c r="C14" s="9" t="s">
        <v>24</v>
      </c>
      <c r="D14" s="10">
        <v>2.7713115E7</v>
      </c>
      <c r="E14" s="16">
        <v>6.0</v>
      </c>
      <c r="F14" s="11">
        <f>6+6</f>
        <v>12</v>
      </c>
      <c r="G14" s="12">
        <f t="shared" si="1"/>
        <v>-6</v>
      </c>
      <c r="H14" s="13">
        <v>45915.0</v>
      </c>
      <c r="I14" s="14" t="s">
        <v>14</v>
      </c>
      <c r="J14" s="13" t="s">
        <v>307</v>
      </c>
      <c r="K14" s="7" t="s">
        <v>283</v>
      </c>
      <c r="L14" s="17"/>
    </row>
    <row r="15">
      <c r="A15" s="7">
        <v>13.0</v>
      </c>
      <c r="B15" s="8">
        <v>9.08371013E8</v>
      </c>
      <c r="C15" s="9" t="s">
        <v>121</v>
      </c>
      <c r="D15" s="10">
        <v>2.8230029E7</v>
      </c>
      <c r="E15" s="16">
        <v>4.0</v>
      </c>
      <c r="F15" s="11">
        <v>4.0</v>
      </c>
      <c r="G15" s="12">
        <f t="shared" si="1"/>
        <v>0</v>
      </c>
      <c r="H15" s="13">
        <v>46007.0</v>
      </c>
      <c r="I15" s="14" t="s">
        <v>14</v>
      </c>
      <c r="J15" s="13">
        <v>46009.0</v>
      </c>
      <c r="K15" s="7" t="s">
        <v>16</v>
      </c>
      <c r="L15" s="17"/>
    </row>
    <row r="16">
      <c r="A16" s="7">
        <v>14.0</v>
      </c>
      <c r="B16" s="19">
        <v>9.08402208E8</v>
      </c>
      <c r="C16" s="20" t="s">
        <v>111</v>
      </c>
      <c r="D16" s="10">
        <v>2.8230029E7</v>
      </c>
      <c r="E16" s="16">
        <v>4.0</v>
      </c>
      <c r="F16" s="11">
        <v>4.0</v>
      </c>
      <c r="G16" s="12">
        <f t="shared" si="1"/>
        <v>0</v>
      </c>
      <c r="H16" s="13">
        <v>46007.0</v>
      </c>
      <c r="I16" s="14" t="s">
        <v>14</v>
      </c>
      <c r="J16" s="13">
        <v>46009.0</v>
      </c>
      <c r="K16" s="7" t="s">
        <v>16</v>
      </c>
      <c r="L16" s="17"/>
    </row>
    <row r="17">
      <c r="A17" s="7">
        <v>15.0</v>
      </c>
      <c r="B17" s="19">
        <v>9.08421031E8</v>
      </c>
      <c r="C17" s="20" t="s">
        <v>270</v>
      </c>
      <c r="D17" s="10">
        <v>2.8230029E7</v>
      </c>
      <c r="E17" s="16">
        <v>2.0</v>
      </c>
      <c r="F17" s="11">
        <v>2.0</v>
      </c>
      <c r="G17" s="12">
        <f t="shared" si="1"/>
        <v>0</v>
      </c>
      <c r="H17" s="13">
        <v>46007.0</v>
      </c>
      <c r="I17" s="14" t="s">
        <v>14</v>
      </c>
      <c r="J17" s="13">
        <v>46009.0</v>
      </c>
      <c r="K17" s="7" t="s">
        <v>16</v>
      </c>
      <c r="L17" s="17"/>
    </row>
    <row r="18">
      <c r="A18" s="7">
        <v>16.0</v>
      </c>
      <c r="B18" s="9">
        <v>9.08202189E8</v>
      </c>
      <c r="C18" s="9" t="s">
        <v>55</v>
      </c>
      <c r="D18" s="10">
        <v>2.8230029E7</v>
      </c>
      <c r="E18" s="16">
        <v>1.0</v>
      </c>
      <c r="F18" s="11">
        <v>2.0</v>
      </c>
      <c r="G18" s="12">
        <f t="shared" si="1"/>
        <v>-1</v>
      </c>
      <c r="H18" s="13">
        <v>46012.0</v>
      </c>
      <c r="I18" s="14" t="s">
        <v>14</v>
      </c>
      <c r="J18" s="13">
        <v>46009.0</v>
      </c>
      <c r="K18" s="7" t="s">
        <v>16</v>
      </c>
      <c r="L18" s="17"/>
    </row>
    <row r="19">
      <c r="A19" s="7"/>
      <c r="B19" s="19"/>
      <c r="C19" s="20"/>
      <c r="D19" s="10"/>
      <c r="E19" s="16"/>
      <c r="F19" s="11"/>
      <c r="G19" s="12"/>
      <c r="H19" s="13"/>
      <c r="I19" s="14"/>
      <c r="J19" s="13"/>
      <c r="K19" s="7"/>
      <c r="L19" s="17"/>
    </row>
    <row r="20">
      <c r="A20" s="7"/>
      <c r="B20" s="19"/>
      <c r="C20" s="20"/>
      <c r="D20" s="10"/>
      <c r="E20" s="16"/>
      <c r="F20" s="11"/>
      <c r="G20" s="12"/>
      <c r="H20" s="13"/>
      <c r="I20" s="14"/>
      <c r="J20" s="13"/>
      <c r="K20" s="7"/>
      <c r="L20" s="17"/>
    </row>
    <row r="21" ht="15.75" customHeight="1"/>
    <row r="22" ht="15.75" customHeight="1"/>
    <row r="23" ht="15.75" customHeight="1">
      <c r="C23" s="69"/>
      <c r="D23" s="7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9.05733051E8</v>
      </c>
      <c r="C3" s="9" t="s">
        <v>309</v>
      </c>
      <c r="D3" s="10">
        <v>2.7732892E7</v>
      </c>
      <c r="E3" s="16">
        <v>1.0</v>
      </c>
      <c r="F3" s="11"/>
      <c r="G3" s="12">
        <f t="shared" ref="G3:G15" si="1">E3-F3</f>
        <v>1</v>
      </c>
      <c r="H3" s="13">
        <v>45915.0</v>
      </c>
      <c r="I3" s="14" t="s">
        <v>14</v>
      </c>
      <c r="J3" s="13"/>
      <c r="K3" s="7"/>
      <c r="L3" s="17"/>
    </row>
    <row r="4">
      <c r="A4" s="7">
        <v>3.0</v>
      </c>
      <c r="B4" s="8">
        <v>9.08121009E8</v>
      </c>
      <c r="C4" s="9" t="s">
        <v>310</v>
      </c>
      <c r="D4" s="10">
        <v>2.7732892E7</v>
      </c>
      <c r="E4" s="16">
        <v>1.0</v>
      </c>
      <c r="F4" s="11">
        <v>1.0</v>
      </c>
      <c r="G4" s="12">
        <f t="shared" si="1"/>
        <v>0</v>
      </c>
      <c r="H4" s="13">
        <v>45915.0</v>
      </c>
      <c r="I4" s="14" t="s">
        <v>14</v>
      </c>
      <c r="J4" s="13">
        <v>45921.0</v>
      </c>
      <c r="K4" s="7" t="s">
        <v>283</v>
      </c>
      <c r="L4" s="17"/>
    </row>
    <row r="5">
      <c r="A5" s="7">
        <v>4.0</v>
      </c>
      <c r="B5" s="19">
        <v>9.08122009E8</v>
      </c>
      <c r="C5" s="20" t="s">
        <v>311</v>
      </c>
      <c r="D5" s="10">
        <v>2.7732892E7</v>
      </c>
      <c r="E5" s="16">
        <v>4.0</v>
      </c>
      <c r="F5" s="11">
        <v>4.0</v>
      </c>
      <c r="G5" s="12">
        <f t="shared" si="1"/>
        <v>0</v>
      </c>
      <c r="H5" s="13">
        <v>45915.0</v>
      </c>
      <c r="I5" s="14" t="s">
        <v>14</v>
      </c>
      <c r="J5" s="13">
        <v>45921.0</v>
      </c>
      <c r="K5" s="7" t="s">
        <v>283</v>
      </c>
      <c r="L5" s="17"/>
    </row>
    <row r="6">
      <c r="A6" s="7">
        <v>5.0</v>
      </c>
      <c r="B6" s="19">
        <v>9.08122035E8</v>
      </c>
      <c r="C6" s="20" t="s">
        <v>312</v>
      </c>
      <c r="D6" s="10">
        <v>2.7732892E7</v>
      </c>
      <c r="E6" s="16">
        <v>4.0</v>
      </c>
      <c r="F6" s="11">
        <v>4.0</v>
      </c>
      <c r="G6" s="12">
        <f t="shared" si="1"/>
        <v>0</v>
      </c>
      <c r="H6" s="13">
        <v>45915.0</v>
      </c>
      <c r="I6" s="14" t="s">
        <v>14</v>
      </c>
      <c r="J6" s="13">
        <v>45921.0</v>
      </c>
      <c r="K6" s="7" t="s">
        <v>283</v>
      </c>
      <c r="L6" s="17"/>
    </row>
    <row r="7">
      <c r="A7" s="7">
        <v>6.0</v>
      </c>
      <c r="B7" s="8">
        <v>9.0820203E8</v>
      </c>
      <c r="C7" s="9" t="s">
        <v>19</v>
      </c>
      <c r="D7" s="10">
        <v>2.7732892E7</v>
      </c>
      <c r="E7" s="16">
        <v>1.0</v>
      </c>
      <c r="F7" s="11">
        <v>1.0</v>
      </c>
      <c r="G7" s="12">
        <f t="shared" si="1"/>
        <v>0</v>
      </c>
      <c r="H7" s="13">
        <v>45915.0</v>
      </c>
      <c r="I7" s="14" t="s">
        <v>14</v>
      </c>
      <c r="J7" s="13">
        <v>45921.0</v>
      </c>
      <c r="K7" s="7" t="s">
        <v>283</v>
      </c>
      <c r="L7" s="17"/>
    </row>
    <row r="8">
      <c r="A8" s="7">
        <v>7.0</v>
      </c>
      <c r="B8" s="19" t="s">
        <v>20</v>
      </c>
      <c r="C8" s="20" t="s">
        <v>21</v>
      </c>
      <c r="D8" s="10">
        <v>2.7732892E7</v>
      </c>
      <c r="E8" s="16">
        <v>1.0</v>
      </c>
      <c r="F8" s="11">
        <v>1.0</v>
      </c>
      <c r="G8" s="12">
        <f t="shared" si="1"/>
        <v>0</v>
      </c>
      <c r="H8" s="13">
        <v>45915.0</v>
      </c>
      <c r="I8" s="14" t="s">
        <v>14</v>
      </c>
      <c r="J8" s="13">
        <v>45921.0</v>
      </c>
      <c r="K8" s="7" t="s">
        <v>283</v>
      </c>
      <c r="L8" s="17"/>
    </row>
    <row r="9">
      <c r="A9" s="7">
        <v>8.0</v>
      </c>
      <c r="B9" s="8">
        <v>9.08375E8</v>
      </c>
      <c r="C9" s="9" t="s">
        <v>232</v>
      </c>
      <c r="D9" s="10">
        <v>2.7732892E7</v>
      </c>
      <c r="E9" s="16">
        <v>1.0</v>
      </c>
      <c r="F9" s="11">
        <v>1.0</v>
      </c>
      <c r="G9" s="12">
        <f t="shared" si="1"/>
        <v>0</v>
      </c>
      <c r="H9" s="13">
        <v>45915.0</v>
      </c>
      <c r="I9" s="14" t="s">
        <v>14</v>
      </c>
      <c r="J9" s="13">
        <v>45921.0</v>
      </c>
      <c r="K9" s="7" t="s">
        <v>283</v>
      </c>
      <c r="L9" s="17"/>
    </row>
    <row r="10">
      <c r="A10" s="7">
        <v>9.0</v>
      </c>
      <c r="B10" s="8">
        <v>9.08402206E8</v>
      </c>
      <c r="C10" s="9" t="s">
        <v>82</v>
      </c>
      <c r="D10" s="10">
        <v>2.7732892E7</v>
      </c>
      <c r="E10" s="16">
        <v>1.0</v>
      </c>
      <c r="F10" s="11">
        <v>6.0</v>
      </c>
      <c r="G10" s="12">
        <f t="shared" si="1"/>
        <v>-5</v>
      </c>
      <c r="H10" s="13">
        <v>45915.0</v>
      </c>
      <c r="I10" s="14" t="s">
        <v>14</v>
      </c>
      <c r="J10" s="13">
        <v>45921.0</v>
      </c>
      <c r="K10" s="7" t="s">
        <v>283</v>
      </c>
      <c r="L10" s="17"/>
    </row>
    <row r="11">
      <c r="A11" s="7">
        <v>10.0</v>
      </c>
      <c r="B11" s="8">
        <v>9.08501001E8</v>
      </c>
      <c r="C11" s="9" t="s">
        <v>313</v>
      </c>
      <c r="D11" s="10">
        <v>2.7732892E7</v>
      </c>
      <c r="E11" s="16">
        <v>3.0</v>
      </c>
      <c r="F11" s="11">
        <v>3.0</v>
      </c>
      <c r="G11" s="12">
        <f t="shared" si="1"/>
        <v>0</v>
      </c>
      <c r="H11" s="13">
        <v>45915.0</v>
      </c>
      <c r="I11" s="14" t="s">
        <v>14</v>
      </c>
      <c r="J11" s="13">
        <v>45921.0</v>
      </c>
      <c r="K11" s="7" t="s">
        <v>283</v>
      </c>
      <c r="L11" s="17"/>
    </row>
    <row r="12">
      <c r="A12" s="7">
        <v>11.0</v>
      </c>
      <c r="B12" s="8">
        <v>9.08111006E8</v>
      </c>
      <c r="C12" s="9" t="s">
        <v>314</v>
      </c>
      <c r="D12" s="10">
        <v>2.7732892E7</v>
      </c>
      <c r="E12" s="16">
        <v>22.0</v>
      </c>
      <c r="F12" s="11">
        <v>23.0</v>
      </c>
      <c r="G12" s="12">
        <f t="shared" si="1"/>
        <v>-1</v>
      </c>
      <c r="H12" s="13">
        <v>45915.0</v>
      </c>
      <c r="I12" s="14" t="s">
        <v>14</v>
      </c>
      <c r="J12" s="13">
        <v>45920.0</v>
      </c>
      <c r="K12" s="7" t="s">
        <v>283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2.7732892E7</v>
      </c>
      <c r="E13" s="16">
        <v>2.0</v>
      </c>
      <c r="F13" s="11">
        <v>2.0</v>
      </c>
      <c r="G13" s="12">
        <f t="shared" si="1"/>
        <v>0</v>
      </c>
      <c r="H13" s="13">
        <v>45915.0</v>
      </c>
      <c r="I13" s="14" t="s">
        <v>14</v>
      </c>
      <c r="J13" s="13">
        <v>45921.0</v>
      </c>
      <c r="K13" s="7" t="s">
        <v>283</v>
      </c>
      <c r="L13" s="17"/>
    </row>
    <row r="14">
      <c r="A14" s="7">
        <v>13.0</v>
      </c>
      <c r="B14" s="8">
        <v>9.08202189E8</v>
      </c>
      <c r="C14" s="9" t="s">
        <v>55</v>
      </c>
      <c r="D14" s="10">
        <v>2.7732892E7</v>
      </c>
      <c r="E14" s="16">
        <v>1.0</v>
      </c>
      <c r="F14" s="11">
        <v>1.0</v>
      </c>
      <c r="G14" s="12">
        <f t="shared" si="1"/>
        <v>0</v>
      </c>
      <c r="H14" s="13">
        <v>45917.0</v>
      </c>
      <c r="I14" s="14" t="s">
        <v>14</v>
      </c>
      <c r="J14" s="13">
        <v>45921.0</v>
      </c>
      <c r="K14" s="7" t="s">
        <v>283</v>
      </c>
      <c r="L14" s="17"/>
    </row>
    <row r="15">
      <c r="A15" s="7">
        <v>14.0</v>
      </c>
      <c r="B15" s="8">
        <v>9.08421005E8</v>
      </c>
      <c r="C15" s="29" t="s">
        <v>315</v>
      </c>
      <c r="D15" s="10">
        <v>2.7732892E7</v>
      </c>
      <c r="E15" s="16">
        <v>1.0</v>
      </c>
      <c r="F15" s="11">
        <v>1.0</v>
      </c>
      <c r="G15" s="12">
        <f t="shared" si="1"/>
        <v>0</v>
      </c>
      <c r="H15" s="13">
        <v>45917.0</v>
      </c>
      <c r="I15" s="14" t="s">
        <v>14</v>
      </c>
      <c r="J15" s="13">
        <v>45921.0</v>
      </c>
      <c r="K15" s="7" t="s">
        <v>283</v>
      </c>
      <c r="L15" s="17"/>
    </row>
    <row r="16">
      <c r="A16" s="7"/>
      <c r="B16" s="8"/>
      <c r="C16" s="9"/>
      <c r="D16" s="10"/>
      <c r="E16" s="16"/>
      <c r="F16" s="11"/>
      <c r="G16" s="12"/>
      <c r="H16" s="13"/>
      <c r="I16" s="14"/>
      <c r="J16" s="13"/>
      <c r="K16" s="7"/>
      <c r="L16" s="17"/>
    </row>
    <row r="19">
      <c r="A19" s="4" t="s">
        <v>1</v>
      </c>
      <c r="B19" s="5" t="s">
        <v>2</v>
      </c>
      <c r="C19" s="4" t="s">
        <v>316</v>
      </c>
      <c r="D19" s="4" t="s">
        <v>6</v>
      </c>
    </row>
    <row r="20">
      <c r="A20" s="7">
        <v>1.0</v>
      </c>
      <c r="B20" s="8">
        <v>9.08501001E8</v>
      </c>
      <c r="C20" s="9" t="s">
        <v>313</v>
      </c>
      <c r="D20" s="10">
        <v>2.0</v>
      </c>
    </row>
    <row r="21" ht="15.75" customHeight="1">
      <c r="A21" s="7">
        <v>2.0</v>
      </c>
      <c r="B21" s="8">
        <v>9.08375E8</v>
      </c>
      <c r="C21" s="9" t="s">
        <v>232</v>
      </c>
      <c r="D21" s="10">
        <v>1.0</v>
      </c>
    </row>
    <row r="22" ht="15.75" customHeight="1">
      <c r="A22" s="7">
        <v>3.0</v>
      </c>
      <c r="B22" s="8">
        <v>9.08421005E8</v>
      </c>
      <c r="C22" s="29" t="s">
        <v>315</v>
      </c>
      <c r="D22" s="10">
        <v>1.0</v>
      </c>
    </row>
    <row r="23" ht="15.75" customHeight="1">
      <c r="A23" s="7"/>
      <c r="B23" s="8"/>
      <c r="C23" s="29"/>
      <c r="D23" s="10"/>
    </row>
    <row r="24" ht="15.75" customHeight="1"/>
    <row r="25" ht="15.75" customHeight="1"/>
    <row r="26" ht="15.75" customHeight="1"/>
    <row r="27" ht="15.75" customHeight="1"/>
    <row r="28" ht="15.75" customHeight="1">
      <c r="C28" s="69"/>
      <c r="D28" s="7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2.7692678E7</v>
      </c>
      <c r="E3" s="16">
        <v>1.0</v>
      </c>
      <c r="F3" s="11"/>
      <c r="G3" s="12">
        <f t="shared" ref="G3:G13" si="1">E3-F3</f>
        <v>1</v>
      </c>
      <c r="H3" s="13">
        <v>45907.0</v>
      </c>
      <c r="I3" s="14" t="s">
        <v>14</v>
      </c>
      <c r="J3" s="13"/>
      <c r="K3" s="7"/>
      <c r="L3" s="17"/>
    </row>
    <row r="4">
      <c r="A4" s="7">
        <v>2.0</v>
      </c>
      <c r="B4" s="19" t="s">
        <v>103</v>
      </c>
      <c r="C4" s="20" t="s">
        <v>104</v>
      </c>
      <c r="D4" s="10">
        <v>2.7692678E7</v>
      </c>
      <c r="E4" s="16">
        <v>1.0</v>
      </c>
      <c r="F4" s="11">
        <v>1.0</v>
      </c>
      <c r="G4" s="12">
        <f t="shared" si="1"/>
        <v>0</v>
      </c>
      <c r="H4" s="13">
        <v>45907.0</v>
      </c>
      <c r="I4" s="14" t="s">
        <v>14</v>
      </c>
      <c r="J4" s="13">
        <v>45919.0</v>
      </c>
      <c r="K4" s="7" t="s">
        <v>283</v>
      </c>
      <c r="L4" s="17"/>
    </row>
    <row r="5">
      <c r="A5" s="7">
        <v>3.0</v>
      </c>
      <c r="B5" s="8">
        <v>9.08121008E8</v>
      </c>
      <c r="C5" s="9" t="s">
        <v>17</v>
      </c>
      <c r="D5" s="10">
        <v>2.7692678E7</v>
      </c>
      <c r="E5" s="16">
        <v>2.0</v>
      </c>
      <c r="F5" s="11">
        <v>2.0</v>
      </c>
      <c r="G5" s="12">
        <f t="shared" si="1"/>
        <v>0</v>
      </c>
      <c r="H5" s="13">
        <v>45915.0</v>
      </c>
      <c r="I5" s="14" t="s">
        <v>14</v>
      </c>
      <c r="J5" s="13">
        <v>45919.0</v>
      </c>
      <c r="K5" s="7" t="s">
        <v>283</v>
      </c>
      <c r="L5" s="17"/>
    </row>
    <row r="6">
      <c r="A6" s="7">
        <v>4.0</v>
      </c>
      <c r="B6" s="8">
        <v>9.0812101E8</v>
      </c>
      <c r="C6" s="9" t="s">
        <v>18</v>
      </c>
      <c r="D6" s="10">
        <v>2.7692678E7</v>
      </c>
      <c r="E6" s="16">
        <v>2.0</v>
      </c>
      <c r="F6" s="11">
        <f>1+1</f>
        <v>2</v>
      </c>
      <c r="G6" s="12">
        <f t="shared" si="1"/>
        <v>0</v>
      </c>
      <c r="H6" s="13">
        <v>45915.0</v>
      </c>
      <c r="I6" s="14" t="s">
        <v>14</v>
      </c>
      <c r="J6" s="13" t="s">
        <v>318</v>
      </c>
      <c r="K6" s="7" t="s">
        <v>283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2.7692678E7</v>
      </c>
      <c r="E7" s="16">
        <v>3.0</v>
      </c>
      <c r="F7" s="11">
        <v>3.0</v>
      </c>
      <c r="G7" s="12">
        <f t="shared" si="1"/>
        <v>0</v>
      </c>
      <c r="H7" s="13">
        <v>45915.0</v>
      </c>
      <c r="I7" s="14" t="s">
        <v>14</v>
      </c>
      <c r="J7" s="13">
        <v>45929.0</v>
      </c>
      <c r="K7" s="7" t="s">
        <v>283</v>
      </c>
      <c r="L7" s="17"/>
    </row>
    <row r="8">
      <c r="A8" s="7">
        <v>6.0</v>
      </c>
      <c r="B8" s="8">
        <v>9.0820203E8</v>
      </c>
      <c r="C8" s="9" t="s">
        <v>19</v>
      </c>
      <c r="D8" s="10">
        <v>2.7692678E7</v>
      </c>
      <c r="E8" s="16">
        <v>2.0</v>
      </c>
      <c r="F8" s="11">
        <v>2.0</v>
      </c>
      <c r="G8" s="12">
        <f t="shared" si="1"/>
        <v>0</v>
      </c>
      <c r="H8" s="13">
        <v>45915.0</v>
      </c>
      <c r="I8" s="14" t="s">
        <v>14</v>
      </c>
      <c r="J8" s="13">
        <v>45919.0</v>
      </c>
      <c r="K8" s="7" t="s">
        <v>283</v>
      </c>
      <c r="L8" s="17"/>
    </row>
    <row r="9">
      <c r="A9" s="7">
        <v>7.0</v>
      </c>
      <c r="B9" s="19" t="s">
        <v>20</v>
      </c>
      <c r="C9" s="20" t="s">
        <v>21</v>
      </c>
      <c r="D9" s="10">
        <v>2.7692678E7</v>
      </c>
      <c r="E9" s="16">
        <v>2.0</v>
      </c>
      <c r="F9" s="11">
        <v>2.0</v>
      </c>
      <c r="G9" s="12">
        <f t="shared" si="1"/>
        <v>0</v>
      </c>
      <c r="H9" s="13">
        <v>45915.0</v>
      </c>
      <c r="I9" s="14" t="s">
        <v>14</v>
      </c>
      <c r="J9" s="13">
        <v>45919.0</v>
      </c>
      <c r="K9" s="7" t="s">
        <v>283</v>
      </c>
      <c r="L9" s="17"/>
    </row>
    <row r="10">
      <c r="A10" s="7">
        <v>9.0</v>
      </c>
      <c r="B10" s="8">
        <v>9.08202098E8</v>
      </c>
      <c r="C10" s="9" t="s">
        <v>22</v>
      </c>
      <c r="D10" s="10">
        <v>2.7692678E7</v>
      </c>
      <c r="E10" s="16">
        <v>2.0</v>
      </c>
      <c r="F10" s="11">
        <v>6.0</v>
      </c>
      <c r="G10" s="12">
        <f t="shared" si="1"/>
        <v>-4</v>
      </c>
      <c r="H10" s="13">
        <v>45915.0</v>
      </c>
      <c r="I10" s="14" t="s">
        <v>14</v>
      </c>
      <c r="J10" s="13">
        <v>45919.0</v>
      </c>
      <c r="K10" s="7" t="s">
        <v>283</v>
      </c>
      <c r="L10" s="17"/>
    </row>
    <row r="11">
      <c r="A11" s="7">
        <v>10.0</v>
      </c>
      <c r="B11" s="8" t="s">
        <v>25</v>
      </c>
      <c r="C11" s="9" t="s">
        <v>26</v>
      </c>
      <c r="D11" s="10">
        <v>2.7692678E7</v>
      </c>
      <c r="E11" s="16">
        <v>24.0</v>
      </c>
      <c r="F11" s="11">
        <v>24.0</v>
      </c>
      <c r="G11" s="12">
        <f t="shared" si="1"/>
        <v>0</v>
      </c>
      <c r="H11" s="13">
        <v>45915.0</v>
      </c>
      <c r="I11" s="14" t="s">
        <v>14</v>
      </c>
      <c r="J11" s="13">
        <v>45918.0</v>
      </c>
      <c r="K11" s="7" t="s">
        <v>283</v>
      </c>
      <c r="L11" s="17"/>
    </row>
    <row r="12">
      <c r="A12" s="7">
        <v>11.0</v>
      </c>
      <c r="B12" s="8" t="s">
        <v>27</v>
      </c>
      <c r="C12" s="9" t="s">
        <v>28</v>
      </c>
      <c r="D12" s="10">
        <v>2.7692678E7</v>
      </c>
      <c r="E12" s="16">
        <v>135.0</v>
      </c>
      <c r="F12" s="11">
        <v>135.0</v>
      </c>
      <c r="G12" s="12">
        <f t="shared" si="1"/>
        <v>0</v>
      </c>
      <c r="H12" s="13">
        <v>45915.0</v>
      </c>
      <c r="I12" s="14" t="s">
        <v>14</v>
      </c>
      <c r="J12" s="13">
        <v>45918.0</v>
      </c>
      <c r="K12" s="7" t="s">
        <v>283</v>
      </c>
      <c r="L12" s="17"/>
    </row>
    <row r="13">
      <c r="A13" s="7">
        <v>12.0</v>
      </c>
      <c r="B13" s="8">
        <v>9.08111101E8</v>
      </c>
      <c r="C13" s="9" t="s">
        <v>24</v>
      </c>
      <c r="D13" s="10">
        <v>2.7692678E7</v>
      </c>
      <c r="E13" s="16">
        <v>6.0</v>
      </c>
      <c r="F13" s="11">
        <v>6.0</v>
      </c>
      <c r="G13" s="12">
        <f t="shared" si="1"/>
        <v>0</v>
      </c>
      <c r="H13" s="13">
        <v>45915.0</v>
      </c>
      <c r="I13" s="14" t="s">
        <v>14</v>
      </c>
      <c r="J13" s="13">
        <v>45919.0</v>
      </c>
      <c r="K13" s="7" t="s">
        <v>283</v>
      </c>
      <c r="L13" s="17"/>
    </row>
    <row r="15">
      <c r="C15" s="36"/>
    </row>
    <row r="21" ht="15.75" customHeight="1"/>
    <row r="22" ht="15.75" customHeight="1">
      <c r="C22" s="69"/>
      <c r="D22" s="7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9.08020201E8</v>
      </c>
      <c r="C3" s="9" t="s">
        <v>13</v>
      </c>
      <c r="D3" s="10">
        <v>2.7676561E7</v>
      </c>
      <c r="E3" s="16">
        <v>1.0</v>
      </c>
      <c r="F3" s="11"/>
      <c r="G3" s="12">
        <f t="shared" ref="G3:G13" si="1">E3-F3</f>
        <v>1</v>
      </c>
      <c r="H3" s="13">
        <v>45907.0</v>
      </c>
      <c r="I3" s="14" t="s">
        <v>14</v>
      </c>
      <c r="J3" s="13"/>
      <c r="K3" s="7"/>
      <c r="L3" s="17"/>
    </row>
    <row r="4">
      <c r="A4" s="7">
        <v>2.0</v>
      </c>
      <c r="B4" s="19" t="s">
        <v>103</v>
      </c>
      <c r="C4" s="20" t="s">
        <v>104</v>
      </c>
      <c r="D4" s="10">
        <v>2.7676561E7</v>
      </c>
      <c r="E4" s="16">
        <v>1.0</v>
      </c>
      <c r="F4" s="11">
        <v>1.0</v>
      </c>
      <c r="G4" s="12">
        <f t="shared" si="1"/>
        <v>0</v>
      </c>
      <c r="H4" s="13">
        <v>45907.0</v>
      </c>
      <c r="I4" s="14" t="s">
        <v>14</v>
      </c>
      <c r="J4" s="13">
        <v>45928.0</v>
      </c>
      <c r="K4" s="7" t="s">
        <v>16</v>
      </c>
      <c r="L4" s="17"/>
    </row>
    <row r="5">
      <c r="A5" s="7">
        <v>3.0</v>
      </c>
      <c r="B5" s="8">
        <v>9.08121003E8</v>
      </c>
      <c r="C5" s="9" t="s">
        <v>320</v>
      </c>
      <c r="D5" s="10">
        <v>2.7676561E7</v>
      </c>
      <c r="E5" s="16">
        <v>1.0</v>
      </c>
      <c r="F5" s="11">
        <v>1.0</v>
      </c>
      <c r="G5" s="12">
        <f t="shared" si="1"/>
        <v>0</v>
      </c>
      <c r="H5" s="13">
        <v>45916.0</v>
      </c>
      <c r="I5" s="14" t="s">
        <v>14</v>
      </c>
      <c r="J5" s="13">
        <v>45928.0</v>
      </c>
      <c r="K5" s="7" t="s">
        <v>16</v>
      </c>
      <c r="L5" s="17"/>
    </row>
    <row r="6">
      <c r="A6" s="7">
        <v>4.0</v>
      </c>
      <c r="B6" s="8">
        <v>9.08121008E8</v>
      </c>
      <c r="C6" s="9" t="s">
        <v>17</v>
      </c>
      <c r="D6" s="10">
        <v>2.7676561E7</v>
      </c>
      <c r="E6" s="16">
        <v>3.0</v>
      </c>
      <c r="F6" s="11">
        <f>2+1</f>
        <v>3</v>
      </c>
      <c r="G6" s="12">
        <f t="shared" si="1"/>
        <v>0</v>
      </c>
      <c r="H6" s="13">
        <v>45916.0</v>
      </c>
      <c r="I6" s="14" t="s">
        <v>14</v>
      </c>
      <c r="J6" s="13">
        <v>45928.0</v>
      </c>
      <c r="K6" s="7" t="s">
        <v>16</v>
      </c>
      <c r="L6" s="17"/>
    </row>
    <row r="7">
      <c r="A7" s="7">
        <v>5.0</v>
      </c>
      <c r="B7" s="8">
        <v>9.0812101E8</v>
      </c>
      <c r="C7" s="9" t="s">
        <v>18</v>
      </c>
      <c r="D7" s="10">
        <v>2.7676561E7</v>
      </c>
      <c r="E7" s="16">
        <v>1.0</v>
      </c>
      <c r="F7" s="11">
        <v>1.0</v>
      </c>
      <c r="G7" s="12">
        <f t="shared" si="1"/>
        <v>0</v>
      </c>
      <c r="H7" s="13">
        <v>45916.0</v>
      </c>
      <c r="I7" s="14" t="s">
        <v>14</v>
      </c>
      <c r="J7" s="13">
        <v>45928.0</v>
      </c>
      <c r="K7" s="7" t="s">
        <v>16</v>
      </c>
      <c r="L7" s="17"/>
    </row>
    <row r="8">
      <c r="A8" s="7">
        <v>6.0</v>
      </c>
      <c r="B8" s="8">
        <v>9.0820203E8</v>
      </c>
      <c r="C8" s="9" t="s">
        <v>19</v>
      </c>
      <c r="D8" s="10">
        <v>2.7676561E7</v>
      </c>
      <c r="E8" s="16">
        <v>2.0</v>
      </c>
      <c r="F8" s="11">
        <v>2.0</v>
      </c>
      <c r="G8" s="12">
        <f t="shared" si="1"/>
        <v>0</v>
      </c>
      <c r="H8" s="13">
        <v>45916.0</v>
      </c>
      <c r="I8" s="14" t="s">
        <v>14</v>
      </c>
      <c r="J8" s="13">
        <v>45928.0</v>
      </c>
      <c r="K8" s="7" t="s">
        <v>16</v>
      </c>
      <c r="L8" s="17"/>
    </row>
    <row r="9">
      <c r="A9" s="7">
        <v>7.0</v>
      </c>
      <c r="B9" s="19" t="s">
        <v>20</v>
      </c>
      <c r="C9" s="20" t="s">
        <v>21</v>
      </c>
      <c r="D9" s="10">
        <v>2.7676561E7</v>
      </c>
      <c r="E9" s="16">
        <v>2.0</v>
      </c>
      <c r="F9" s="11">
        <v>2.0</v>
      </c>
      <c r="G9" s="12">
        <f t="shared" si="1"/>
        <v>0</v>
      </c>
      <c r="H9" s="13">
        <v>45916.0</v>
      </c>
      <c r="I9" s="14" t="s">
        <v>14</v>
      </c>
      <c r="J9" s="13">
        <v>45928.0</v>
      </c>
      <c r="K9" s="7" t="s">
        <v>16</v>
      </c>
      <c r="L9" s="17"/>
    </row>
    <row r="10">
      <c r="A10" s="7">
        <v>8.0</v>
      </c>
      <c r="B10" s="8">
        <v>9.08202098E8</v>
      </c>
      <c r="C10" s="9" t="s">
        <v>22</v>
      </c>
      <c r="D10" s="10">
        <v>2.7676561E7</v>
      </c>
      <c r="E10" s="16">
        <v>2.0</v>
      </c>
      <c r="F10" s="11">
        <v>6.0</v>
      </c>
      <c r="G10" s="12">
        <f t="shared" si="1"/>
        <v>-4</v>
      </c>
      <c r="H10" s="13">
        <v>45916.0</v>
      </c>
      <c r="I10" s="14" t="s">
        <v>14</v>
      </c>
      <c r="J10" s="13">
        <v>45928.0</v>
      </c>
      <c r="K10" s="7" t="s">
        <v>16</v>
      </c>
      <c r="L10" s="17"/>
    </row>
    <row r="11">
      <c r="A11" s="7">
        <v>9.0</v>
      </c>
      <c r="B11" s="8">
        <v>9.0812201E8</v>
      </c>
      <c r="C11" s="9" t="s">
        <v>80</v>
      </c>
      <c r="D11" s="10"/>
      <c r="E11" s="16"/>
      <c r="F11" s="11">
        <v>8.0</v>
      </c>
      <c r="G11" s="12">
        <f t="shared" si="1"/>
        <v>-8</v>
      </c>
      <c r="H11" s="13"/>
      <c r="I11" s="14"/>
      <c r="J11" s="13">
        <v>45928.0</v>
      </c>
      <c r="K11" s="7" t="s">
        <v>16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2.7676561E7</v>
      </c>
      <c r="E12" s="16">
        <v>76.0</v>
      </c>
      <c r="F12" s="11">
        <v>76.0</v>
      </c>
      <c r="G12" s="12">
        <f t="shared" si="1"/>
        <v>0</v>
      </c>
      <c r="H12" s="13">
        <v>45902.0</v>
      </c>
      <c r="I12" s="14" t="s">
        <v>14</v>
      </c>
      <c r="J12" s="13">
        <v>45928.0</v>
      </c>
      <c r="K12" s="7" t="s">
        <v>16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2.7676561E7</v>
      </c>
      <c r="E13" s="16">
        <v>21.0</v>
      </c>
      <c r="F13" s="11">
        <v>21.0</v>
      </c>
      <c r="G13" s="12">
        <f t="shared" si="1"/>
        <v>0</v>
      </c>
      <c r="H13" s="13">
        <v>45902.0</v>
      </c>
      <c r="I13" s="14" t="s">
        <v>14</v>
      </c>
      <c r="J13" s="13">
        <v>45928.0</v>
      </c>
      <c r="K13" s="7" t="s">
        <v>16</v>
      </c>
      <c r="L13" s="17"/>
    </row>
    <row r="14">
      <c r="A14" s="7">
        <v>12.0</v>
      </c>
      <c r="B14" s="19">
        <v>9.08111101E8</v>
      </c>
      <c r="C14" s="20" t="s">
        <v>24</v>
      </c>
      <c r="D14" s="10"/>
      <c r="E14" s="16"/>
      <c r="F14" s="11">
        <v>6.0</v>
      </c>
      <c r="G14" s="12"/>
      <c r="H14" s="13"/>
      <c r="I14" s="14"/>
      <c r="J14" s="13">
        <v>45928.0</v>
      </c>
      <c r="K14" s="7" t="s">
        <v>16</v>
      </c>
      <c r="L14" s="17"/>
    </row>
    <row r="20">
      <c r="C20" s="69"/>
      <c r="D20" s="7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57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2.7673124E7</v>
      </c>
      <c r="E3" s="16">
        <v>4.0</v>
      </c>
      <c r="F3" s="11">
        <v>4.0</v>
      </c>
      <c r="G3" s="12">
        <f t="shared" ref="G3:G26" si="1">E3-F3</f>
        <v>0</v>
      </c>
      <c r="H3" s="13">
        <v>45925.0</v>
      </c>
      <c r="I3" s="14" t="s">
        <v>14</v>
      </c>
      <c r="J3" s="13">
        <v>45938.0</v>
      </c>
      <c r="K3" s="7" t="s">
        <v>63</v>
      </c>
      <c r="L3" s="17"/>
    </row>
    <row r="4">
      <c r="A4" s="7">
        <v>2.0</v>
      </c>
      <c r="B4" s="8">
        <v>9.0812101E8</v>
      </c>
      <c r="C4" s="9" t="s">
        <v>18</v>
      </c>
      <c r="D4" s="10">
        <v>2.7673124E7</v>
      </c>
      <c r="E4" s="16">
        <v>2.0</v>
      </c>
      <c r="F4" s="11">
        <v>2.0</v>
      </c>
      <c r="G4" s="12">
        <f t="shared" si="1"/>
        <v>0</v>
      </c>
      <c r="H4" s="13">
        <v>45925.0</v>
      </c>
      <c r="I4" s="14" t="s">
        <v>14</v>
      </c>
      <c r="J4" s="13">
        <v>45938.0</v>
      </c>
      <c r="K4" s="7" t="s">
        <v>63</v>
      </c>
      <c r="L4" s="17"/>
    </row>
    <row r="5">
      <c r="A5" s="7">
        <v>3.0</v>
      </c>
      <c r="B5" s="8">
        <v>9.0812104E8</v>
      </c>
      <c r="C5" s="29" t="s">
        <v>66</v>
      </c>
      <c r="D5" s="10">
        <v>2.7673124E7</v>
      </c>
      <c r="E5" s="16">
        <v>2.0</v>
      </c>
      <c r="F5" s="11">
        <v>2.0</v>
      </c>
      <c r="G5" s="12">
        <f t="shared" si="1"/>
        <v>0</v>
      </c>
      <c r="H5" s="13">
        <v>45925.0</v>
      </c>
      <c r="I5" s="14" t="s">
        <v>14</v>
      </c>
      <c r="J5" s="13">
        <v>45938.0</v>
      </c>
      <c r="K5" s="7" t="s">
        <v>63</v>
      </c>
      <c r="L5" s="17"/>
    </row>
    <row r="6">
      <c r="A6" s="7">
        <v>4.0</v>
      </c>
      <c r="B6" s="8">
        <v>9.08121144E8</v>
      </c>
      <c r="C6" s="29" t="s">
        <v>66</v>
      </c>
      <c r="D6" s="10">
        <v>2.7673124E7</v>
      </c>
      <c r="E6" s="16">
        <v>2.0</v>
      </c>
      <c r="F6" s="11">
        <f>1+1</f>
        <v>2</v>
      </c>
      <c r="G6" s="12">
        <f t="shared" si="1"/>
        <v>0</v>
      </c>
      <c r="H6" s="13">
        <v>45925.0</v>
      </c>
      <c r="I6" s="14" t="s">
        <v>14</v>
      </c>
      <c r="J6" s="13" t="s">
        <v>322</v>
      </c>
      <c r="K6" s="51" t="s">
        <v>63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2.7673124E7</v>
      </c>
      <c r="E7" s="16">
        <v>3.0</v>
      </c>
      <c r="F7" s="11">
        <v>3.0</v>
      </c>
      <c r="G7" s="12">
        <f t="shared" si="1"/>
        <v>0</v>
      </c>
      <c r="H7" s="13">
        <v>45925.0</v>
      </c>
      <c r="I7" s="14" t="s">
        <v>14</v>
      </c>
      <c r="J7" s="13">
        <v>45938.0</v>
      </c>
      <c r="K7" s="7" t="s">
        <v>63</v>
      </c>
      <c r="L7" s="17"/>
    </row>
    <row r="8">
      <c r="A8" s="7">
        <v>6.0</v>
      </c>
      <c r="B8" s="8">
        <v>9.0820203E8</v>
      </c>
      <c r="C8" s="9" t="s">
        <v>19</v>
      </c>
      <c r="D8" s="39" t="s">
        <v>323</v>
      </c>
      <c r="E8" s="16">
        <f>2+4</f>
        <v>6</v>
      </c>
      <c r="F8" s="11">
        <f>2+2</f>
        <v>4</v>
      </c>
      <c r="G8" s="12">
        <f t="shared" si="1"/>
        <v>2</v>
      </c>
      <c r="H8" s="13" t="s">
        <v>324</v>
      </c>
      <c r="I8" s="14" t="s">
        <v>14</v>
      </c>
      <c r="J8" s="13" t="s">
        <v>274</v>
      </c>
      <c r="K8" s="51" t="s">
        <v>325</v>
      </c>
      <c r="L8" s="17"/>
    </row>
    <row r="9">
      <c r="A9" s="7">
        <v>7.0</v>
      </c>
      <c r="B9" s="8">
        <v>9.0812115E8</v>
      </c>
      <c r="C9" s="9" t="s">
        <v>67</v>
      </c>
      <c r="D9" s="10">
        <v>2.7673124E7</v>
      </c>
      <c r="E9" s="16">
        <v>1.0</v>
      </c>
      <c r="F9" s="11">
        <v>1.0</v>
      </c>
      <c r="G9" s="12">
        <f t="shared" si="1"/>
        <v>0</v>
      </c>
      <c r="H9" s="13">
        <v>45925.0</v>
      </c>
      <c r="I9" s="14" t="s">
        <v>14</v>
      </c>
      <c r="J9" s="13">
        <v>45981.0</v>
      </c>
      <c r="K9" s="7" t="s">
        <v>63</v>
      </c>
      <c r="L9" s="17"/>
    </row>
    <row r="10">
      <c r="A10" s="7">
        <v>8.0</v>
      </c>
      <c r="B10" s="8">
        <v>9.08020201E8</v>
      </c>
      <c r="C10" s="9" t="s">
        <v>13</v>
      </c>
      <c r="D10" s="39" t="s">
        <v>323</v>
      </c>
      <c r="E10" s="16">
        <f>3+4</f>
        <v>7</v>
      </c>
      <c r="F10" s="11">
        <v>6.0</v>
      </c>
      <c r="G10" s="12">
        <f t="shared" si="1"/>
        <v>1</v>
      </c>
      <c r="H10" s="13" t="s">
        <v>326</v>
      </c>
      <c r="I10" s="14" t="s">
        <v>14</v>
      </c>
      <c r="J10" s="13">
        <v>45938.0</v>
      </c>
      <c r="K10" s="7" t="s">
        <v>63</v>
      </c>
      <c r="L10" s="17"/>
    </row>
    <row r="11">
      <c r="A11" s="7">
        <v>9.0</v>
      </c>
      <c r="B11" s="19" t="s">
        <v>103</v>
      </c>
      <c r="C11" s="20" t="s">
        <v>104</v>
      </c>
      <c r="D11" s="10">
        <v>2.7673124E7</v>
      </c>
      <c r="E11" s="16">
        <v>1.0</v>
      </c>
      <c r="F11" s="11">
        <v>1.0</v>
      </c>
      <c r="G11" s="12">
        <f t="shared" si="1"/>
        <v>0</v>
      </c>
      <c r="H11" s="13">
        <v>45907.0</v>
      </c>
      <c r="I11" s="14" t="s">
        <v>14</v>
      </c>
      <c r="J11" s="13">
        <v>45938.0</v>
      </c>
      <c r="K11" s="7" t="s">
        <v>63</v>
      </c>
      <c r="L11" s="17"/>
    </row>
    <row r="12">
      <c r="A12" s="7">
        <v>10.0</v>
      </c>
      <c r="B12" s="8">
        <v>9.08202189E8</v>
      </c>
      <c r="C12" s="9" t="s">
        <v>55</v>
      </c>
      <c r="D12" s="39" t="s">
        <v>323</v>
      </c>
      <c r="E12" s="16">
        <f t="shared" ref="E12:F12" si="2">8+4</f>
        <v>12</v>
      </c>
      <c r="F12" s="11">
        <f t="shared" si="2"/>
        <v>12</v>
      </c>
      <c r="G12" s="12">
        <f t="shared" si="1"/>
        <v>0</v>
      </c>
      <c r="H12" s="13" t="s">
        <v>326</v>
      </c>
      <c r="I12" s="14" t="s">
        <v>14</v>
      </c>
      <c r="J12" s="13" t="s">
        <v>327</v>
      </c>
      <c r="K12" s="7" t="s">
        <v>63</v>
      </c>
      <c r="L12" s="17"/>
    </row>
    <row r="13">
      <c r="A13" s="7">
        <v>11.0</v>
      </c>
      <c r="B13" s="8">
        <v>9.08111101E8</v>
      </c>
      <c r="C13" s="9" t="s">
        <v>24</v>
      </c>
      <c r="D13" s="10">
        <v>2.7673124E7</v>
      </c>
      <c r="E13" s="16">
        <f>6+8</f>
        <v>14</v>
      </c>
      <c r="F13" s="11">
        <f>6+8+6</f>
        <v>20</v>
      </c>
      <c r="G13" s="12">
        <f t="shared" si="1"/>
        <v>-6</v>
      </c>
      <c r="H13" s="13">
        <v>45911.0</v>
      </c>
      <c r="I13" s="14" t="s">
        <v>14</v>
      </c>
      <c r="J13" s="13" t="s">
        <v>328</v>
      </c>
      <c r="K13" s="51" t="s">
        <v>325</v>
      </c>
      <c r="L13" s="17"/>
    </row>
    <row r="14">
      <c r="A14" s="7">
        <v>12.0</v>
      </c>
      <c r="B14" s="8">
        <v>9.08111102E8</v>
      </c>
      <c r="C14" s="9" t="s">
        <v>145</v>
      </c>
      <c r="D14" s="10">
        <v>2.7673124E7</v>
      </c>
      <c r="E14" s="16">
        <v>25.0</v>
      </c>
      <c r="F14" s="11">
        <v>25.0</v>
      </c>
      <c r="G14" s="12">
        <f t="shared" si="1"/>
        <v>0</v>
      </c>
      <c r="H14" s="13">
        <v>45911.0</v>
      </c>
      <c r="I14" s="14" t="s">
        <v>14</v>
      </c>
      <c r="J14" s="13">
        <v>45938.0</v>
      </c>
      <c r="K14" s="7" t="s">
        <v>63</v>
      </c>
      <c r="L14" s="17"/>
    </row>
    <row r="15">
      <c r="A15" s="7">
        <v>13.0</v>
      </c>
      <c r="B15" s="8" t="s">
        <v>25</v>
      </c>
      <c r="C15" s="9" t="s">
        <v>26</v>
      </c>
      <c r="D15" s="10">
        <v>2.7673124E7</v>
      </c>
      <c r="E15" s="16">
        <v>92.0</v>
      </c>
      <c r="F15" s="11">
        <v>92.0</v>
      </c>
      <c r="G15" s="12">
        <f t="shared" si="1"/>
        <v>0</v>
      </c>
      <c r="H15" s="13">
        <v>45911.0</v>
      </c>
      <c r="I15" s="14" t="s">
        <v>14</v>
      </c>
      <c r="J15" s="13">
        <v>45938.0</v>
      </c>
      <c r="K15" s="7" t="s">
        <v>63</v>
      </c>
      <c r="L15" s="17"/>
    </row>
    <row r="16">
      <c r="A16" s="7">
        <v>14.0</v>
      </c>
      <c r="B16" s="8" t="s">
        <v>27</v>
      </c>
      <c r="C16" s="9" t="s">
        <v>28</v>
      </c>
      <c r="D16" s="10">
        <v>2.7673124E7</v>
      </c>
      <c r="E16" s="16">
        <v>35.0</v>
      </c>
      <c r="F16" s="11">
        <v>34.0</v>
      </c>
      <c r="G16" s="12">
        <f t="shared" si="1"/>
        <v>1</v>
      </c>
      <c r="H16" s="13">
        <v>45911.0</v>
      </c>
      <c r="I16" s="14" t="s">
        <v>14</v>
      </c>
      <c r="J16" s="13">
        <v>45938.0</v>
      </c>
      <c r="K16" s="7" t="s">
        <v>63</v>
      </c>
      <c r="L16" s="17"/>
    </row>
    <row r="17">
      <c r="A17" s="7">
        <v>15.0</v>
      </c>
      <c r="B17" s="8">
        <v>9.08113004E8</v>
      </c>
      <c r="C17" s="9" t="s">
        <v>70</v>
      </c>
      <c r="D17" s="10">
        <v>2.7673124E7</v>
      </c>
      <c r="E17" s="16">
        <v>8.0</v>
      </c>
      <c r="F17" s="11">
        <v>7.0</v>
      </c>
      <c r="G17" s="12">
        <f t="shared" si="1"/>
        <v>1</v>
      </c>
      <c r="H17" s="13">
        <v>45911.0</v>
      </c>
      <c r="I17" s="14" t="s">
        <v>14</v>
      </c>
      <c r="J17" s="13">
        <v>45938.0</v>
      </c>
      <c r="K17" s="7" t="s">
        <v>63</v>
      </c>
      <c r="L17" s="17"/>
    </row>
    <row r="18">
      <c r="A18" s="7">
        <v>16.0</v>
      </c>
      <c r="B18" s="8">
        <v>9.08114004E8</v>
      </c>
      <c r="C18" s="9" t="s">
        <v>69</v>
      </c>
      <c r="D18" s="39" t="s">
        <v>329</v>
      </c>
      <c r="E18" s="16">
        <f>15+3</f>
        <v>18</v>
      </c>
      <c r="F18" s="11">
        <v>16.0</v>
      </c>
      <c r="G18" s="12">
        <f t="shared" si="1"/>
        <v>2</v>
      </c>
      <c r="H18" s="13" t="s">
        <v>330</v>
      </c>
      <c r="I18" s="14" t="s">
        <v>14</v>
      </c>
      <c r="J18" s="13">
        <v>45944.0</v>
      </c>
      <c r="K18" s="7" t="s">
        <v>63</v>
      </c>
      <c r="L18" s="17"/>
    </row>
    <row r="19">
      <c r="A19" s="7">
        <v>17.0</v>
      </c>
      <c r="B19" s="8">
        <v>9.08122034E8</v>
      </c>
      <c r="C19" s="9" t="s">
        <v>36</v>
      </c>
      <c r="D19" s="10">
        <v>2.7673124E7</v>
      </c>
      <c r="E19" s="16">
        <v>8.0</v>
      </c>
      <c r="F19" s="11">
        <v>8.0</v>
      </c>
      <c r="G19" s="12">
        <f t="shared" si="1"/>
        <v>0</v>
      </c>
      <c r="H19" s="13">
        <v>45925.0</v>
      </c>
      <c r="I19" s="14" t="s">
        <v>14</v>
      </c>
      <c r="J19" s="13">
        <v>45938.0</v>
      </c>
      <c r="K19" s="7" t="s">
        <v>63</v>
      </c>
      <c r="L19" s="17"/>
    </row>
    <row r="20">
      <c r="A20" s="7">
        <v>18.0</v>
      </c>
      <c r="B20" s="19" t="s">
        <v>20</v>
      </c>
      <c r="C20" s="20" t="s">
        <v>21</v>
      </c>
      <c r="D20" s="39" t="s">
        <v>323</v>
      </c>
      <c r="E20" s="16">
        <f>6+4</f>
        <v>10</v>
      </c>
      <c r="F20" s="11">
        <f>4+2+4</f>
        <v>10</v>
      </c>
      <c r="G20" s="12">
        <f t="shared" si="1"/>
        <v>0</v>
      </c>
      <c r="H20" s="13" t="s">
        <v>324</v>
      </c>
      <c r="I20" s="14" t="s">
        <v>14</v>
      </c>
      <c r="J20" s="13" t="s">
        <v>331</v>
      </c>
      <c r="K20" s="7" t="s">
        <v>332</v>
      </c>
      <c r="L20" s="17"/>
    </row>
    <row r="21" ht="15.75" customHeight="1">
      <c r="A21" s="7">
        <v>19.0</v>
      </c>
      <c r="B21" s="8">
        <v>9.08202098E8</v>
      </c>
      <c r="C21" s="9" t="s">
        <v>22</v>
      </c>
      <c r="D21" s="10">
        <v>2.7673124E7</v>
      </c>
      <c r="E21" s="16">
        <v>2.0</v>
      </c>
      <c r="F21" s="11">
        <v>2.0</v>
      </c>
      <c r="G21" s="12">
        <f t="shared" si="1"/>
        <v>0</v>
      </c>
      <c r="H21" s="13">
        <v>45925.0</v>
      </c>
      <c r="I21" s="14" t="s">
        <v>14</v>
      </c>
      <c r="J21" s="13">
        <v>45939.0</v>
      </c>
      <c r="K21" s="7" t="s">
        <v>283</v>
      </c>
      <c r="L21" s="17"/>
    </row>
    <row r="22" ht="15.75" customHeight="1">
      <c r="A22" s="7">
        <v>20.0</v>
      </c>
      <c r="B22" s="19">
        <v>9.08321012E8</v>
      </c>
      <c r="C22" s="20" t="s">
        <v>148</v>
      </c>
      <c r="D22" s="10">
        <v>2.7673124E7</v>
      </c>
      <c r="E22" s="16">
        <v>1.0</v>
      </c>
      <c r="F22" s="11">
        <v>1.0</v>
      </c>
      <c r="G22" s="12">
        <f t="shared" si="1"/>
        <v>0</v>
      </c>
      <c r="H22" s="13">
        <v>45925.0</v>
      </c>
      <c r="I22" s="14" t="s">
        <v>14</v>
      </c>
      <c r="J22" s="13">
        <v>45938.0</v>
      </c>
      <c r="K22" s="7" t="s">
        <v>63</v>
      </c>
      <c r="L22" s="17"/>
    </row>
    <row r="23" ht="15.75" customHeight="1">
      <c r="A23" s="7">
        <v>21.0</v>
      </c>
      <c r="B23" s="8">
        <v>9.08569114E8</v>
      </c>
      <c r="C23" s="9" t="s">
        <v>149</v>
      </c>
      <c r="D23" s="10">
        <v>2.7673124E7</v>
      </c>
      <c r="E23" s="16">
        <v>1.0</v>
      </c>
      <c r="F23" s="11">
        <v>1.0</v>
      </c>
      <c r="G23" s="12">
        <f t="shared" si="1"/>
        <v>0</v>
      </c>
      <c r="H23" s="13">
        <v>45925.0</v>
      </c>
      <c r="I23" s="14" t="s">
        <v>14</v>
      </c>
      <c r="J23" s="13">
        <v>45938.0</v>
      </c>
      <c r="K23" s="7" t="s">
        <v>63</v>
      </c>
      <c r="L23" s="17"/>
    </row>
    <row r="24" ht="15.75" customHeight="1">
      <c r="A24" s="7">
        <v>22.0</v>
      </c>
      <c r="B24" s="8">
        <v>9.08371014E8</v>
      </c>
      <c r="C24" s="9" t="s">
        <v>113</v>
      </c>
      <c r="D24" s="10">
        <v>2.8118255E7</v>
      </c>
      <c r="E24" s="16">
        <v>4.0</v>
      </c>
      <c r="F24" s="11">
        <v>4.0</v>
      </c>
      <c r="G24" s="12">
        <f t="shared" si="1"/>
        <v>0</v>
      </c>
      <c r="H24" s="13">
        <v>45985.0</v>
      </c>
      <c r="I24" s="14" t="s">
        <v>14</v>
      </c>
      <c r="J24" s="13">
        <v>45987.0</v>
      </c>
      <c r="K24" s="7" t="s">
        <v>63</v>
      </c>
      <c r="L24" s="17"/>
    </row>
    <row r="25" ht="15.75" customHeight="1">
      <c r="A25" s="7">
        <v>23.0</v>
      </c>
      <c r="B25" s="8">
        <v>9.08402208E8</v>
      </c>
      <c r="C25" s="9" t="s">
        <v>111</v>
      </c>
      <c r="D25" s="10">
        <v>2.8118255E7</v>
      </c>
      <c r="E25" s="16">
        <v>4.0</v>
      </c>
      <c r="F25" s="11">
        <v>4.0</v>
      </c>
      <c r="G25" s="12">
        <f t="shared" si="1"/>
        <v>0</v>
      </c>
      <c r="H25" s="13">
        <v>45985.0</v>
      </c>
      <c r="I25" s="14" t="s">
        <v>14</v>
      </c>
      <c r="J25" s="13">
        <v>45987.0</v>
      </c>
      <c r="K25" s="7" t="s">
        <v>63</v>
      </c>
      <c r="L25" s="17"/>
    </row>
    <row r="26" ht="15.75" customHeight="1">
      <c r="A26" s="7">
        <v>24.0</v>
      </c>
      <c r="B26" s="8">
        <v>9.08421025E8</v>
      </c>
      <c r="C26" s="9" t="s">
        <v>112</v>
      </c>
      <c r="D26" s="10">
        <v>2.8118255E7</v>
      </c>
      <c r="E26" s="16">
        <v>4.0</v>
      </c>
      <c r="F26" s="11">
        <v>4.0</v>
      </c>
      <c r="G26" s="12">
        <f t="shared" si="1"/>
        <v>0</v>
      </c>
      <c r="H26" s="13">
        <v>45985.0</v>
      </c>
      <c r="I26" s="14" t="s">
        <v>14</v>
      </c>
      <c r="J26" s="13">
        <v>45987.0</v>
      </c>
      <c r="K26" s="7" t="s">
        <v>63</v>
      </c>
      <c r="L26" s="17"/>
    </row>
    <row r="27" ht="15.75" customHeight="1">
      <c r="C27" s="36"/>
    </row>
    <row r="28" ht="15.75" customHeight="1">
      <c r="A28" s="4" t="s">
        <v>1</v>
      </c>
      <c r="B28" s="5" t="s">
        <v>2</v>
      </c>
      <c r="C28" s="4" t="s">
        <v>3</v>
      </c>
      <c r="D28" s="4" t="s">
        <v>5</v>
      </c>
      <c r="E28" s="25" t="s">
        <v>10</v>
      </c>
      <c r="F28" s="3"/>
      <c r="G28" s="45" t="s">
        <v>11</v>
      </c>
      <c r="H28" s="27"/>
    </row>
    <row r="29" ht="15.75" customHeight="1">
      <c r="A29" s="7">
        <v>1.0</v>
      </c>
      <c r="B29" s="8">
        <v>9.08114004E8</v>
      </c>
      <c r="C29" s="9" t="s">
        <v>333</v>
      </c>
      <c r="D29" s="9">
        <v>2.0</v>
      </c>
      <c r="E29" s="81">
        <v>45983.0</v>
      </c>
      <c r="F29" s="27"/>
      <c r="G29" s="68" t="s">
        <v>334</v>
      </c>
      <c r="H29" s="27"/>
    </row>
    <row r="30" ht="15.75" customHeight="1"/>
    <row r="31" ht="15.75" customHeight="1"/>
    <row r="32" ht="15.75" customHeight="1"/>
    <row r="33" ht="15.75" customHeight="1"/>
    <row r="34" ht="15.75" customHeight="1">
      <c r="C34" s="69"/>
      <c r="D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E28:F28"/>
    <mergeCell ref="G28:H28"/>
    <mergeCell ref="E29:F29"/>
    <mergeCell ref="G29:H29"/>
  </mergeCells>
  <printOptions/>
  <pageMargins bottom="0.75" footer="0.0" header="0.0" left="0.7" right="0.7" top="0.75"/>
  <pageSetup scale="27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2.7707418E7</v>
      </c>
      <c r="E3" s="16"/>
      <c r="F3" s="11">
        <v>33.0</v>
      </c>
      <c r="G3" s="12">
        <f t="shared" ref="G3:G12" si="1">E3-F3</f>
        <v>-33</v>
      </c>
      <c r="H3" s="13"/>
      <c r="I3" s="14"/>
      <c r="J3" s="13">
        <v>45915.0</v>
      </c>
      <c r="K3" s="7" t="s">
        <v>283</v>
      </c>
      <c r="L3" s="17"/>
    </row>
    <row r="4">
      <c r="A4" s="7">
        <v>2.0</v>
      </c>
      <c r="B4" s="8">
        <v>9.08121008E8</v>
      </c>
      <c r="C4" s="9" t="s">
        <v>17</v>
      </c>
      <c r="D4" s="10">
        <v>2.7707418E7</v>
      </c>
      <c r="E4" s="16">
        <v>2.0</v>
      </c>
      <c r="F4" s="11">
        <v>2.0</v>
      </c>
      <c r="G4" s="12">
        <f t="shared" si="1"/>
        <v>0</v>
      </c>
      <c r="H4" s="13">
        <v>45916.0</v>
      </c>
      <c r="I4" s="14" t="s">
        <v>33</v>
      </c>
      <c r="J4" s="13">
        <v>45920.0</v>
      </c>
      <c r="K4" s="7" t="s">
        <v>283</v>
      </c>
      <c r="L4" s="17"/>
    </row>
    <row r="5">
      <c r="A5" s="7">
        <v>3.0</v>
      </c>
      <c r="B5" s="8">
        <v>9.08421025E8</v>
      </c>
      <c r="C5" s="9" t="s">
        <v>112</v>
      </c>
      <c r="D5" s="10">
        <v>2.7887057E7</v>
      </c>
      <c r="E5" s="16">
        <v>2.0</v>
      </c>
      <c r="F5" s="11">
        <v>2.0</v>
      </c>
      <c r="G5" s="12">
        <f t="shared" si="1"/>
        <v>0</v>
      </c>
      <c r="H5" s="13">
        <v>45944.0</v>
      </c>
      <c r="I5" s="14" t="s">
        <v>14</v>
      </c>
      <c r="J5" s="13">
        <v>45946.0</v>
      </c>
      <c r="K5" s="7" t="s">
        <v>16</v>
      </c>
      <c r="L5" s="17"/>
    </row>
    <row r="6">
      <c r="A6" s="7">
        <v>4.0</v>
      </c>
      <c r="B6" s="8">
        <v>9.08402208E8</v>
      </c>
      <c r="C6" s="9" t="s">
        <v>111</v>
      </c>
      <c r="D6" s="10">
        <v>2.7887057E7</v>
      </c>
      <c r="E6" s="16">
        <v>2.0</v>
      </c>
      <c r="F6" s="11">
        <v>2.0</v>
      </c>
      <c r="G6" s="12">
        <f t="shared" si="1"/>
        <v>0</v>
      </c>
      <c r="H6" s="13">
        <v>45944.0</v>
      </c>
      <c r="I6" s="14" t="s">
        <v>14</v>
      </c>
      <c r="J6" s="13">
        <v>45946.0</v>
      </c>
      <c r="K6" s="7" t="s">
        <v>16</v>
      </c>
      <c r="L6" s="17"/>
    </row>
    <row r="7">
      <c r="A7" s="7">
        <v>6.0</v>
      </c>
      <c r="B7" s="8">
        <v>9.08111101E8</v>
      </c>
      <c r="C7" s="9" t="s">
        <v>24</v>
      </c>
      <c r="D7" s="10">
        <v>2.7887057E7</v>
      </c>
      <c r="E7" s="16">
        <v>4.0</v>
      </c>
      <c r="F7" s="11">
        <v>4.0</v>
      </c>
      <c r="G7" s="12">
        <f t="shared" si="1"/>
        <v>0</v>
      </c>
      <c r="H7" s="13">
        <v>45944.0</v>
      </c>
      <c r="I7" s="14" t="s">
        <v>14</v>
      </c>
      <c r="J7" s="13">
        <v>45946.0</v>
      </c>
      <c r="K7" s="7" t="s">
        <v>16</v>
      </c>
      <c r="L7" s="17"/>
    </row>
    <row r="8">
      <c r="A8" s="7">
        <v>8.0</v>
      </c>
      <c r="B8" s="8">
        <v>9.08202189E8</v>
      </c>
      <c r="C8" s="9" t="s">
        <v>55</v>
      </c>
      <c r="D8" s="10">
        <v>2.7887057E7</v>
      </c>
      <c r="E8" s="16">
        <v>2.0</v>
      </c>
      <c r="F8" s="11">
        <v>2.0</v>
      </c>
      <c r="G8" s="12">
        <f t="shared" si="1"/>
        <v>0</v>
      </c>
      <c r="H8" s="13">
        <v>45944.0</v>
      </c>
      <c r="I8" s="14" t="s">
        <v>14</v>
      </c>
      <c r="J8" s="13">
        <v>45946.0</v>
      </c>
      <c r="K8" s="7" t="s">
        <v>16</v>
      </c>
      <c r="L8" s="17"/>
    </row>
    <row r="9">
      <c r="A9" s="7">
        <v>9.0</v>
      </c>
      <c r="B9" s="8" t="s">
        <v>20</v>
      </c>
      <c r="C9" s="9" t="s">
        <v>21</v>
      </c>
      <c r="D9" s="10">
        <v>2.7887057E7</v>
      </c>
      <c r="E9" s="16">
        <v>2.0</v>
      </c>
      <c r="F9" s="11">
        <v>2.0</v>
      </c>
      <c r="G9" s="12">
        <f t="shared" si="1"/>
        <v>0</v>
      </c>
      <c r="H9" s="13">
        <v>45944.0</v>
      </c>
      <c r="I9" s="14" t="s">
        <v>14</v>
      </c>
      <c r="J9" s="13">
        <v>45946.0</v>
      </c>
      <c r="K9" s="7" t="s">
        <v>16</v>
      </c>
      <c r="L9" s="17"/>
    </row>
    <row r="10">
      <c r="A10" s="7">
        <v>10.0</v>
      </c>
      <c r="B10" s="8">
        <v>9.08020201E8</v>
      </c>
      <c r="C10" s="9" t="s">
        <v>13</v>
      </c>
      <c r="D10" s="10">
        <v>2.7887057E7</v>
      </c>
      <c r="E10" s="16">
        <v>2.0</v>
      </c>
      <c r="F10" s="11">
        <v>6.0</v>
      </c>
      <c r="G10" s="12">
        <f t="shared" si="1"/>
        <v>-4</v>
      </c>
      <c r="H10" s="13">
        <v>45944.0</v>
      </c>
      <c r="I10" s="14" t="s">
        <v>14</v>
      </c>
      <c r="J10" s="13"/>
      <c r="K10" s="7"/>
      <c r="L10" s="17"/>
    </row>
    <row r="11">
      <c r="A11" s="7">
        <v>11.0</v>
      </c>
      <c r="B11" s="8">
        <v>9.0820203E8</v>
      </c>
      <c r="C11" s="9" t="s">
        <v>19</v>
      </c>
      <c r="D11" s="10">
        <v>2.7887057E7</v>
      </c>
      <c r="E11" s="16">
        <v>2.0</v>
      </c>
      <c r="F11" s="11"/>
      <c r="G11" s="12">
        <f t="shared" si="1"/>
        <v>2</v>
      </c>
      <c r="H11" s="13">
        <v>45944.0</v>
      </c>
      <c r="I11" s="14" t="s">
        <v>14</v>
      </c>
      <c r="J11" s="13"/>
      <c r="K11" s="7"/>
      <c r="L11" s="17"/>
    </row>
    <row r="12">
      <c r="A12" s="7">
        <v>14.0</v>
      </c>
      <c r="B12" s="8">
        <v>9.08371014E8</v>
      </c>
      <c r="C12" s="9" t="s">
        <v>113</v>
      </c>
      <c r="D12" s="10">
        <v>2.7887057E7</v>
      </c>
      <c r="E12" s="16">
        <v>2.0</v>
      </c>
      <c r="F12" s="11">
        <v>2.0</v>
      </c>
      <c r="G12" s="12">
        <f t="shared" si="1"/>
        <v>0</v>
      </c>
      <c r="H12" s="13">
        <v>45944.0</v>
      </c>
      <c r="I12" s="14" t="s">
        <v>14</v>
      </c>
      <c r="J12" s="13">
        <v>45946.0</v>
      </c>
      <c r="K12" s="7" t="s">
        <v>16</v>
      </c>
      <c r="L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2.0</v>
      </c>
      <c r="B3" s="8" t="s">
        <v>25</v>
      </c>
      <c r="C3" s="9" t="s">
        <v>26</v>
      </c>
      <c r="D3" s="10">
        <v>2.7692558E7</v>
      </c>
      <c r="E3" s="16">
        <v>34.0</v>
      </c>
      <c r="F3" s="11">
        <v>34.0</v>
      </c>
      <c r="G3" s="12">
        <f t="shared" ref="G3:G13" si="1">E3-F3</f>
        <v>0</v>
      </c>
      <c r="H3" s="13">
        <v>45911.0</v>
      </c>
      <c r="I3" s="14" t="s">
        <v>14</v>
      </c>
      <c r="J3" s="13">
        <v>45911.0</v>
      </c>
      <c r="K3" s="7" t="s">
        <v>283</v>
      </c>
      <c r="L3" s="17"/>
    </row>
    <row r="4">
      <c r="A4" s="7">
        <v>3.0</v>
      </c>
      <c r="B4" s="8" t="s">
        <v>27</v>
      </c>
      <c r="C4" s="9" t="s">
        <v>28</v>
      </c>
      <c r="D4" s="10">
        <v>2.7692558E7</v>
      </c>
      <c r="E4" s="16">
        <v>30.0</v>
      </c>
      <c r="F4" s="11">
        <v>30.0</v>
      </c>
      <c r="G4" s="12">
        <f t="shared" si="1"/>
        <v>0</v>
      </c>
      <c r="H4" s="13">
        <v>45911.0</v>
      </c>
      <c r="I4" s="14" t="s">
        <v>14</v>
      </c>
      <c r="J4" s="13">
        <v>45911.0</v>
      </c>
      <c r="K4" s="7" t="s">
        <v>283</v>
      </c>
      <c r="L4" s="17"/>
    </row>
    <row r="5">
      <c r="A5" s="7">
        <v>5.0</v>
      </c>
      <c r="B5" s="8">
        <v>9.08121008E8</v>
      </c>
      <c r="C5" s="9" t="s">
        <v>17</v>
      </c>
      <c r="D5" s="10">
        <v>2.7692558E7</v>
      </c>
      <c r="E5" s="16">
        <v>2.0</v>
      </c>
      <c r="F5" s="11">
        <v>2.0</v>
      </c>
      <c r="G5" s="12">
        <f t="shared" si="1"/>
        <v>0</v>
      </c>
      <c r="H5" s="13">
        <v>45916.0</v>
      </c>
      <c r="I5" s="14" t="s">
        <v>14</v>
      </c>
      <c r="J5" s="13">
        <v>45911.0</v>
      </c>
      <c r="K5" s="7" t="s">
        <v>283</v>
      </c>
      <c r="L5" s="17"/>
    </row>
    <row r="6">
      <c r="A6" s="7">
        <v>6.0</v>
      </c>
      <c r="B6" s="8">
        <v>9.0812101E8</v>
      </c>
      <c r="C6" s="9" t="s">
        <v>18</v>
      </c>
      <c r="D6" s="10">
        <v>2.7692558E7</v>
      </c>
      <c r="E6" s="16">
        <v>2.0</v>
      </c>
      <c r="F6" s="11">
        <f>1+1</f>
        <v>2</v>
      </c>
      <c r="G6" s="12">
        <f t="shared" si="1"/>
        <v>0</v>
      </c>
      <c r="H6" s="13">
        <v>45916.0</v>
      </c>
      <c r="I6" s="14" t="s">
        <v>14</v>
      </c>
      <c r="J6" s="13" t="s">
        <v>337</v>
      </c>
      <c r="K6" s="7" t="s">
        <v>287</v>
      </c>
      <c r="L6" s="17"/>
    </row>
    <row r="7">
      <c r="A7" s="7">
        <v>7.0</v>
      </c>
      <c r="B7" s="8">
        <v>9.08020201E8</v>
      </c>
      <c r="C7" s="9" t="s">
        <v>13</v>
      </c>
      <c r="D7" s="10">
        <v>2.7692558E7</v>
      </c>
      <c r="E7" s="16">
        <v>1.0</v>
      </c>
      <c r="F7" s="11"/>
      <c r="G7" s="12">
        <f t="shared" si="1"/>
        <v>1</v>
      </c>
      <c r="H7" s="13">
        <v>45907.0</v>
      </c>
      <c r="I7" s="14" t="s">
        <v>14</v>
      </c>
      <c r="J7" s="13"/>
      <c r="K7" s="7"/>
      <c r="L7" s="17"/>
    </row>
    <row r="8">
      <c r="A8" s="7">
        <v>8.0</v>
      </c>
      <c r="B8" s="8">
        <v>9.08122011E8</v>
      </c>
      <c r="C8" s="9" t="s">
        <v>23</v>
      </c>
      <c r="D8" s="10">
        <v>2.7692558E7</v>
      </c>
      <c r="E8" s="16">
        <v>3.0</v>
      </c>
      <c r="F8" s="11">
        <v>3.0</v>
      </c>
      <c r="G8" s="12">
        <f t="shared" si="1"/>
        <v>0</v>
      </c>
      <c r="H8" s="13">
        <v>45916.0</v>
      </c>
      <c r="I8" s="14" t="s">
        <v>14</v>
      </c>
      <c r="J8" s="13">
        <v>45924.0</v>
      </c>
      <c r="K8" s="7" t="s">
        <v>16</v>
      </c>
      <c r="L8" s="17"/>
    </row>
    <row r="9">
      <c r="A9" s="7">
        <v>9.0</v>
      </c>
      <c r="B9" s="8">
        <v>9.0820203E8</v>
      </c>
      <c r="C9" s="9" t="s">
        <v>19</v>
      </c>
      <c r="D9" s="10">
        <v>2.7692558E7</v>
      </c>
      <c r="E9" s="16">
        <v>2.0</v>
      </c>
      <c r="F9" s="11">
        <v>2.0</v>
      </c>
      <c r="G9" s="12">
        <f t="shared" si="1"/>
        <v>0</v>
      </c>
      <c r="H9" s="13">
        <v>45916.0</v>
      </c>
      <c r="I9" s="14" t="s">
        <v>14</v>
      </c>
      <c r="J9" s="13">
        <v>45911.0</v>
      </c>
      <c r="K9" s="7" t="s">
        <v>283</v>
      </c>
      <c r="L9" s="17"/>
    </row>
    <row r="10">
      <c r="A10" s="7">
        <v>10.0</v>
      </c>
      <c r="B10" s="8" t="s">
        <v>103</v>
      </c>
      <c r="C10" s="9" t="s">
        <v>104</v>
      </c>
      <c r="D10" s="10">
        <v>2.7692558E7</v>
      </c>
      <c r="E10" s="16">
        <v>1.0</v>
      </c>
      <c r="F10" s="11">
        <v>6.0</v>
      </c>
      <c r="G10" s="12">
        <f t="shared" si="1"/>
        <v>-5</v>
      </c>
      <c r="H10" s="13">
        <v>45907.0</v>
      </c>
      <c r="I10" s="14" t="s">
        <v>14</v>
      </c>
      <c r="J10" s="13">
        <v>45911.0</v>
      </c>
      <c r="K10" s="7" t="s">
        <v>283</v>
      </c>
      <c r="L10" s="17"/>
    </row>
    <row r="11">
      <c r="A11" s="7">
        <v>11.0</v>
      </c>
      <c r="B11" s="8" t="s">
        <v>20</v>
      </c>
      <c r="C11" s="9" t="s">
        <v>21</v>
      </c>
      <c r="D11" s="10">
        <v>2.7692558E7</v>
      </c>
      <c r="E11" s="16">
        <v>2.0</v>
      </c>
      <c r="F11" s="11">
        <v>2.0</v>
      </c>
      <c r="G11" s="12">
        <f t="shared" si="1"/>
        <v>0</v>
      </c>
      <c r="H11" s="13">
        <v>45916.0</v>
      </c>
      <c r="I11" s="14" t="s">
        <v>14</v>
      </c>
      <c r="J11" s="13">
        <v>45911.0</v>
      </c>
      <c r="K11" s="7" t="s">
        <v>283</v>
      </c>
      <c r="L11" s="17"/>
    </row>
    <row r="12">
      <c r="A12" s="7">
        <v>12.0</v>
      </c>
      <c r="B12" s="8">
        <v>9.08202098E8</v>
      </c>
      <c r="C12" s="9" t="s">
        <v>22</v>
      </c>
      <c r="D12" s="10">
        <v>2.7692558E7</v>
      </c>
      <c r="E12" s="16">
        <v>2.0</v>
      </c>
      <c r="F12" s="11">
        <v>2.0</v>
      </c>
      <c r="G12" s="12">
        <f t="shared" si="1"/>
        <v>0</v>
      </c>
      <c r="H12" s="13">
        <v>45916.0</v>
      </c>
      <c r="I12" s="14" t="s">
        <v>14</v>
      </c>
      <c r="J12" s="13">
        <v>45911.0</v>
      </c>
      <c r="K12" s="7" t="s">
        <v>283</v>
      </c>
      <c r="L12" s="17"/>
    </row>
    <row r="13">
      <c r="A13" s="7">
        <v>13.0</v>
      </c>
      <c r="B13" s="8">
        <v>9.08111101E8</v>
      </c>
      <c r="C13" s="9" t="s">
        <v>24</v>
      </c>
      <c r="D13" s="10">
        <v>2.7692558E7</v>
      </c>
      <c r="E13" s="16">
        <v>6.0</v>
      </c>
      <c r="F13" s="11">
        <v>6.0</v>
      </c>
      <c r="G13" s="12">
        <f t="shared" si="1"/>
        <v>0</v>
      </c>
      <c r="H13" s="13">
        <v>45911.0</v>
      </c>
      <c r="I13" s="14" t="s">
        <v>14</v>
      </c>
      <c r="J13" s="13">
        <v>45911.0</v>
      </c>
      <c r="K13" s="7" t="s">
        <v>283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9.0812104E8</v>
      </c>
      <c r="C3" s="29" t="s">
        <v>66</v>
      </c>
      <c r="D3" s="10">
        <v>2.7655638E7</v>
      </c>
      <c r="E3" s="7">
        <v>2.0</v>
      </c>
      <c r="F3" s="11">
        <v>2.0</v>
      </c>
      <c r="G3" s="12">
        <f t="shared" ref="G3:G31" si="1">E3-F3</f>
        <v>0</v>
      </c>
      <c r="H3" s="13">
        <v>45903.0</v>
      </c>
      <c r="I3" s="14" t="s">
        <v>14</v>
      </c>
      <c r="J3" s="13">
        <v>45937.0</v>
      </c>
      <c r="K3" s="7" t="s">
        <v>63</v>
      </c>
      <c r="L3" s="9"/>
    </row>
    <row r="4">
      <c r="A4" s="7">
        <v>2.0</v>
      </c>
      <c r="B4" s="8">
        <v>9.08121144E8</v>
      </c>
      <c r="C4" s="29" t="s">
        <v>66</v>
      </c>
      <c r="D4" s="10">
        <v>2.7655638E7</v>
      </c>
      <c r="E4" s="7">
        <v>3.0</v>
      </c>
      <c r="F4" s="11">
        <f>2+1</f>
        <v>3</v>
      </c>
      <c r="G4" s="12">
        <f t="shared" si="1"/>
        <v>0</v>
      </c>
      <c r="H4" s="13">
        <v>45903.0</v>
      </c>
      <c r="I4" s="14" t="s">
        <v>14</v>
      </c>
      <c r="J4" s="13" t="s">
        <v>339</v>
      </c>
      <c r="K4" s="51" t="s">
        <v>63</v>
      </c>
      <c r="L4" s="9"/>
    </row>
    <row r="5">
      <c r="A5" s="7">
        <v>3.0</v>
      </c>
      <c r="B5" s="19">
        <v>9.08122011E8</v>
      </c>
      <c r="C5" s="20" t="s">
        <v>23</v>
      </c>
      <c r="D5" s="10">
        <v>2.7655638E7</v>
      </c>
      <c r="E5" s="7">
        <v>3.0</v>
      </c>
      <c r="F5" s="11">
        <v>3.0</v>
      </c>
      <c r="G5" s="12">
        <f t="shared" si="1"/>
        <v>0</v>
      </c>
      <c r="H5" s="13">
        <v>45903.0</v>
      </c>
      <c r="I5" s="14" t="s">
        <v>14</v>
      </c>
      <c r="J5" s="13">
        <v>45939.0</v>
      </c>
      <c r="K5" s="7" t="s">
        <v>63</v>
      </c>
      <c r="L5" s="9"/>
    </row>
    <row r="6">
      <c r="A6" s="7">
        <v>4.0</v>
      </c>
      <c r="B6" s="8">
        <v>9.0820203E8</v>
      </c>
      <c r="C6" s="9" t="s">
        <v>19</v>
      </c>
      <c r="D6" s="10">
        <v>2.7655638E7</v>
      </c>
      <c r="E6" s="7">
        <v>2.0</v>
      </c>
      <c r="F6" s="11">
        <v>2.0</v>
      </c>
      <c r="G6" s="12">
        <f t="shared" si="1"/>
        <v>0</v>
      </c>
      <c r="H6" s="13">
        <v>45903.0</v>
      </c>
      <c r="I6" s="14" t="s">
        <v>14</v>
      </c>
      <c r="J6" s="13">
        <v>45939.0</v>
      </c>
      <c r="K6" s="7" t="s">
        <v>283</v>
      </c>
      <c r="L6" s="9"/>
    </row>
    <row r="7">
      <c r="A7" s="7">
        <v>5.0</v>
      </c>
      <c r="B7" s="8">
        <v>9.08202189E8</v>
      </c>
      <c r="C7" s="9" t="s">
        <v>55</v>
      </c>
      <c r="D7" s="10">
        <v>2.7655638E7</v>
      </c>
      <c r="E7" s="7">
        <v>8.0</v>
      </c>
      <c r="F7" s="11">
        <v>8.0</v>
      </c>
      <c r="G7" s="12">
        <f t="shared" si="1"/>
        <v>0</v>
      </c>
      <c r="H7" s="13">
        <v>45903.0</v>
      </c>
      <c r="I7" s="14" t="s">
        <v>14</v>
      </c>
      <c r="J7" s="13">
        <v>45939.0</v>
      </c>
      <c r="K7" s="7" t="s">
        <v>63</v>
      </c>
      <c r="L7" s="9"/>
    </row>
    <row r="8">
      <c r="A8" s="7">
        <v>6.0</v>
      </c>
      <c r="B8" s="8">
        <v>9.08122034E8</v>
      </c>
      <c r="C8" s="9" t="s">
        <v>36</v>
      </c>
      <c r="D8" s="10">
        <v>2.7655638E7</v>
      </c>
      <c r="E8" s="7">
        <v>8.0</v>
      </c>
      <c r="F8" s="11">
        <v>8.0</v>
      </c>
      <c r="G8" s="12">
        <f t="shared" si="1"/>
        <v>0</v>
      </c>
      <c r="H8" s="13">
        <v>45903.0</v>
      </c>
      <c r="I8" s="14" t="s">
        <v>14</v>
      </c>
      <c r="J8" s="13">
        <v>45939.0</v>
      </c>
      <c r="K8" s="7" t="s">
        <v>63</v>
      </c>
      <c r="L8" s="9"/>
    </row>
    <row r="9">
      <c r="A9" s="7">
        <v>7.0</v>
      </c>
      <c r="B9" s="8">
        <v>9.08121008E8</v>
      </c>
      <c r="C9" s="9" t="s">
        <v>17</v>
      </c>
      <c r="D9" s="10">
        <v>2.7655638E7</v>
      </c>
      <c r="E9" s="7">
        <v>2.0</v>
      </c>
      <c r="F9" s="11">
        <v>2.0</v>
      </c>
      <c r="G9" s="12">
        <f t="shared" si="1"/>
        <v>0</v>
      </c>
      <c r="H9" s="13">
        <v>45902.0</v>
      </c>
      <c r="I9" s="14" t="s">
        <v>14</v>
      </c>
      <c r="J9" s="13">
        <v>45939.0</v>
      </c>
      <c r="K9" s="7" t="s">
        <v>63</v>
      </c>
      <c r="L9" s="9"/>
    </row>
    <row r="10">
      <c r="A10" s="7">
        <v>8.0</v>
      </c>
      <c r="B10" s="8">
        <v>9.0812101E8</v>
      </c>
      <c r="C10" s="9" t="s">
        <v>18</v>
      </c>
      <c r="D10" s="10">
        <v>2.7655638E7</v>
      </c>
      <c r="E10" s="7">
        <v>2.0</v>
      </c>
      <c r="F10" s="11">
        <v>6.0</v>
      </c>
      <c r="G10" s="12">
        <f t="shared" si="1"/>
        <v>-4</v>
      </c>
      <c r="H10" s="13">
        <v>45902.0</v>
      </c>
      <c r="I10" s="14" t="s">
        <v>14</v>
      </c>
      <c r="J10" s="13">
        <v>45939.0</v>
      </c>
      <c r="K10" s="7" t="s">
        <v>63</v>
      </c>
      <c r="L10" s="9"/>
    </row>
    <row r="11">
      <c r="A11" s="7">
        <v>9.0</v>
      </c>
      <c r="B11" s="8">
        <v>9.08569114E8</v>
      </c>
      <c r="C11" s="9" t="s">
        <v>149</v>
      </c>
      <c r="D11" s="10">
        <v>2.7655638E7</v>
      </c>
      <c r="E11" s="7">
        <v>1.0</v>
      </c>
      <c r="F11" s="11">
        <v>1.0</v>
      </c>
      <c r="G11" s="12">
        <f t="shared" si="1"/>
        <v>0</v>
      </c>
      <c r="H11" s="13">
        <v>45902.0</v>
      </c>
      <c r="I11" s="14" t="s">
        <v>14</v>
      </c>
      <c r="J11" s="13">
        <v>45937.0</v>
      </c>
      <c r="K11" s="7" t="s">
        <v>63</v>
      </c>
      <c r="L11" s="9"/>
    </row>
    <row r="12">
      <c r="A12" s="7">
        <v>10.0</v>
      </c>
      <c r="B12" s="8">
        <v>9.08020201E8</v>
      </c>
      <c r="C12" s="9" t="s">
        <v>13</v>
      </c>
      <c r="D12" s="10">
        <v>2.7655638E7</v>
      </c>
      <c r="E12" s="7">
        <v>3.0</v>
      </c>
      <c r="F12" s="11">
        <v>2.0</v>
      </c>
      <c r="G12" s="12">
        <f t="shared" si="1"/>
        <v>1</v>
      </c>
      <c r="H12" s="13">
        <v>45902.0</v>
      </c>
      <c r="I12" s="14" t="s">
        <v>14</v>
      </c>
      <c r="J12" s="13">
        <v>45938.0</v>
      </c>
      <c r="K12" s="7" t="s">
        <v>63</v>
      </c>
      <c r="L12" s="9"/>
    </row>
    <row r="13">
      <c r="A13" s="7">
        <v>11.0</v>
      </c>
      <c r="B13" s="19" t="s">
        <v>103</v>
      </c>
      <c r="C13" s="20" t="s">
        <v>104</v>
      </c>
      <c r="D13" s="10">
        <v>2.7655638E7</v>
      </c>
      <c r="E13" s="7">
        <v>1.0</v>
      </c>
      <c r="F13" s="11">
        <v>1.0</v>
      </c>
      <c r="G13" s="12">
        <f t="shared" si="1"/>
        <v>0</v>
      </c>
      <c r="H13" s="13">
        <v>45907.0</v>
      </c>
      <c r="I13" s="14" t="s">
        <v>14</v>
      </c>
      <c r="J13" s="13">
        <v>45937.0</v>
      </c>
      <c r="K13" s="7" t="s">
        <v>63</v>
      </c>
      <c r="L13" s="9"/>
    </row>
    <row r="14">
      <c r="A14" s="7">
        <v>12.0</v>
      </c>
      <c r="B14" s="19">
        <v>9.0812115E8</v>
      </c>
      <c r="C14" s="20" t="s">
        <v>67</v>
      </c>
      <c r="D14" s="10">
        <v>2.7655638E7</v>
      </c>
      <c r="E14" s="7">
        <v>1.0</v>
      </c>
      <c r="F14" s="11">
        <v>1.0</v>
      </c>
      <c r="G14" s="12">
        <f t="shared" si="1"/>
        <v>0</v>
      </c>
      <c r="H14" s="13">
        <v>45922.0</v>
      </c>
      <c r="I14" s="14" t="s">
        <v>14</v>
      </c>
      <c r="J14" s="13">
        <v>45973.0</v>
      </c>
      <c r="K14" s="7" t="s">
        <v>63</v>
      </c>
      <c r="L14" s="9"/>
    </row>
    <row r="15">
      <c r="A15" s="7">
        <v>13.0</v>
      </c>
      <c r="B15" s="8" t="s">
        <v>20</v>
      </c>
      <c r="C15" s="9" t="s">
        <v>21</v>
      </c>
      <c r="D15" s="10">
        <v>2.7655638E7</v>
      </c>
      <c r="E15" s="7">
        <v>6.0</v>
      </c>
      <c r="F15" s="11">
        <f>2+4</f>
        <v>6</v>
      </c>
      <c r="G15" s="12">
        <f t="shared" si="1"/>
        <v>0</v>
      </c>
      <c r="H15" s="13">
        <v>45922.0</v>
      </c>
      <c r="I15" s="14" t="s">
        <v>14</v>
      </c>
      <c r="J15" s="13">
        <v>45939.0</v>
      </c>
      <c r="K15" s="7" t="s">
        <v>283</v>
      </c>
      <c r="L15" s="9"/>
    </row>
    <row r="16">
      <c r="A16" s="7">
        <v>14.0</v>
      </c>
      <c r="B16" s="19">
        <v>9.08321012E8</v>
      </c>
      <c r="C16" s="20" t="s">
        <v>148</v>
      </c>
      <c r="D16" s="10">
        <v>2.7655638E7</v>
      </c>
      <c r="E16" s="7">
        <v>1.0</v>
      </c>
      <c r="F16" s="11">
        <v>1.0</v>
      </c>
      <c r="G16" s="12">
        <f t="shared" si="1"/>
        <v>0</v>
      </c>
      <c r="H16" s="13">
        <v>45922.0</v>
      </c>
      <c r="I16" s="14" t="s">
        <v>14</v>
      </c>
      <c r="J16" s="13">
        <v>45937.0</v>
      </c>
      <c r="K16" s="7" t="s">
        <v>63</v>
      </c>
      <c r="L16" s="7"/>
    </row>
    <row r="17">
      <c r="A17" s="7">
        <v>15.0</v>
      </c>
      <c r="B17" s="19">
        <v>9.08202098E8</v>
      </c>
      <c r="C17" s="20" t="s">
        <v>22</v>
      </c>
      <c r="D17" s="10">
        <v>2.7655638E7</v>
      </c>
      <c r="E17" s="7">
        <v>2.0</v>
      </c>
      <c r="F17" s="11">
        <v>2.0</v>
      </c>
      <c r="G17" s="12">
        <f t="shared" si="1"/>
        <v>0</v>
      </c>
      <c r="H17" s="13">
        <v>45922.0</v>
      </c>
      <c r="I17" s="14" t="s">
        <v>14</v>
      </c>
      <c r="J17" s="13">
        <v>45939.0</v>
      </c>
      <c r="K17" s="7" t="s">
        <v>283</v>
      </c>
      <c r="L17" s="9"/>
    </row>
    <row r="18">
      <c r="A18" s="7">
        <v>16.0</v>
      </c>
      <c r="B18" s="19">
        <v>9.08111101E8</v>
      </c>
      <c r="C18" s="20" t="s">
        <v>24</v>
      </c>
      <c r="D18" s="10">
        <v>2.7655638E7</v>
      </c>
      <c r="E18" s="7"/>
      <c r="F18" s="11">
        <v>6.0</v>
      </c>
      <c r="G18" s="12">
        <f t="shared" si="1"/>
        <v>-6</v>
      </c>
      <c r="H18" s="13"/>
      <c r="I18" s="14"/>
      <c r="J18" s="13">
        <v>45939.0</v>
      </c>
      <c r="K18" s="7" t="s">
        <v>283</v>
      </c>
      <c r="L18" s="9"/>
    </row>
    <row r="19">
      <c r="A19" s="7">
        <v>17.0</v>
      </c>
      <c r="B19" s="19" t="s">
        <v>25</v>
      </c>
      <c r="C19" s="20" t="s">
        <v>26</v>
      </c>
      <c r="D19" s="10">
        <v>2.7655638E7</v>
      </c>
      <c r="E19" s="7">
        <v>40.0</v>
      </c>
      <c r="F19" s="11">
        <v>36.0</v>
      </c>
      <c r="G19" s="12">
        <f t="shared" si="1"/>
        <v>4</v>
      </c>
      <c r="H19" s="13"/>
      <c r="I19" s="14"/>
      <c r="J19" s="13">
        <v>45939.0</v>
      </c>
      <c r="K19" s="7" t="s">
        <v>63</v>
      </c>
      <c r="L19" s="9"/>
    </row>
    <row r="20">
      <c r="A20" s="7">
        <v>18.0</v>
      </c>
      <c r="B20" s="19" t="s">
        <v>27</v>
      </c>
      <c r="C20" s="20" t="s">
        <v>28</v>
      </c>
      <c r="D20" s="10">
        <v>2.7655638E7</v>
      </c>
      <c r="E20" s="7">
        <v>27.0</v>
      </c>
      <c r="F20" s="11">
        <v>27.0</v>
      </c>
      <c r="G20" s="12">
        <f t="shared" si="1"/>
        <v>0</v>
      </c>
      <c r="H20" s="13"/>
      <c r="I20" s="14"/>
      <c r="J20" s="13">
        <v>45939.0</v>
      </c>
      <c r="K20" s="7" t="s">
        <v>63</v>
      </c>
      <c r="L20" s="9"/>
    </row>
    <row r="21" ht="15.75" customHeight="1">
      <c r="A21" s="7">
        <v>19.0</v>
      </c>
      <c r="B21" s="19">
        <v>9.08114004E8</v>
      </c>
      <c r="C21" s="20" t="s">
        <v>340</v>
      </c>
      <c r="D21" s="10">
        <v>2.7655638E7</v>
      </c>
      <c r="E21" s="7">
        <v>358.0</v>
      </c>
      <c r="F21" s="11">
        <v>356.0</v>
      </c>
      <c r="G21" s="12">
        <f t="shared" si="1"/>
        <v>2</v>
      </c>
      <c r="H21" s="13" t="s">
        <v>341</v>
      </c>
      <c r="I21" s="14"/>
      <c r="J21" s="13">
        <v>45939.0</v>
      </c>
      <c r="K21" s="7" t="s">
        <v>63</v>
      </c>
      <c r="L21" s="9"/>
    </row>
    <row r="22" ht="15.75" customHeight="1">
      <c r="A22" s="7">
        <v>20.0</v>
      </c>
      <c r="B22" s="8">
        <v>9.08111102E8</v>
      </c>
      <c r="C22" s="9" t="s">
        <v>145</v>
      </c>
      <c r="D22" s="10">
        <v>2.7655638E7</v>
      </c>
      <c r="E22" s="7">
        <v>25.0</v>
      </c>
      <c r="F22" s="11">
        <v>25.0</v>
      </c>
      <c r="G22" s="12">
        <f t="shared" si="1"/>
        <v>0</v>
      </c>
      <c r="H22" s="13"/>
      <c r="I22" s="14"/>
      <c r="J22" s="13">
        <v>45939.0</v>
      </c>
      <c r="K22" s="7" t="s">
        <v>63</v>
      </c>
      <c r="L22" s="9"/>
    </row>
    <row r="23" ht="15.75" customHeight="1">
      <c r="A23" s="7">
        <v>21.0</v>
      </c>
      <c r="B23" s="82">
        <v>9.0820203E8</v>
      </c>
      <c r="C23" s="83" t="s">
        <v>19</v>
      </c>
      <c r="D23" s="84">
        <v>2.8042768E7</v>
      </c>
      <c r="E23" s="7">
        <v>2.0</v>
      </c>
      <c r="F23" s="11">
        <v>2.0</v>
      </c>
      <c r="G23" s="12">
        <f t="shared" si="1"/>
        <v>0</v>
      </c>
      <c r="H23" s="13">
        <v>45970.0</v>
      </c>
      <c r="I23" s="14" t="s">
        <v>14</v>
      </c>
      <c r="J23" s="13">
        <v>45977.0</v>
      </c>
      <c r="K23" s="7" t="s">
        <v>63</v>
      </c>
      <c r="L23" s="9"/>
    </row>
    <row r="24" ht="15.75" customHeight="1">
      <c r="A24" s="7">
        <v>22.0</v>
      </c>
      <c r="B24" s="82" t="s">
        <v>20</v>
      </c>
      <c r="C24" s="82" t="s">
        <v>21</v>
      </c>
      <c r="D24" s="84">
        <v>2.8042768E7</v>
      </c>
      <c r="E24" s="7">
        <v>2.0</v>
      </c>
      <c r="F24" s="11">
        <v>2.0</v>
      </c>
      <c r="G24" s="12">
        <f t="shared" si="1"/>
        <v>0</v>
      </c>
      <c r="H24" s="13">
        <v>45970.0</v>
      </c>
      <c r="I24" s="14" t="s">
        <v>14</v>
      </c>
      <c r="J24" s="13">
        <v>45977.0</v>
      </c>
      <c r="K24" s="7" t="s">
        <v>63</v>
      </c>
      <c r="L24" s="9"/>
    </row>
    <row r="25" ht="15.75" customHeight="1">
      <c r="A25" s="7">
        <v>23.0</v>
      </c>
      <c r="B25" s="82">
        <v>9.08371013E8</v>
      </c>
      <c r="C25" s="82" t="s">
        <v>121</v>
      </c>
      <c r="D25" s="84">
        <v>2.8042768E7</v>
      </c>
      <c r="E25" s="7">
        <v>2.0</v>
      </c>
      <c r="F25" s="11">
        <v>2.0</v>
      </c>
      <c r="G25" s="12">
        <f t="shared" si="1"/>
        <v>0</v>
      </c>
      <c r="H25" s="13">
        <v>45970.0</v>
      </c>
      <c r="I25" s="14" t="s">
        <v>14</v>
      </c>
      <c r="J25" s="13">
        <v>45977.0</v>
      </c>
      <c r="K25" s="7" t="s">
        <v>63</v>
      </c>
      <c r="L25" s="9"/>
    </row>
    <row r="26" ht="15.75" customHeight="1">
      <c r="A26" s="7">
        <v>24.0</v>
      </c>
      <c r="B26" s="82">
        <v>9.08371014E8</v>
      </c>
      <c r="C26" s="82" t="s">
        <v>113</v>
      </c>
      <c r="D26" s="84">
        <v>2.8042768E7</v>
      </c>
      <c r="E26" s="7">
        <v>1.0</v>
      </c>
      <c r="F26" s="11">
        <v>1.0</v>
      </c>
      <c r="G26" s="12">
        <f t="shared" si="1"/>
        <v>0</v>
      </c>
      <c r="H26" s="13">
        <v>45970.0</v>
      </c>
      <c r="I26" s="14" t="s">
        <v>14</v>
      </c>
      <c r="J26" s="13">
        <v>45977.0</v>
      </c>
      <c r="K26" s="7" t="s">
        <v>63</v>
      </c>
      <c r="L26" s="9"/>
    </row>
    <row r="27" ht="15.75" customHeight="1">
      <c r="A27" s="7">
        <v>25.0</v>
      </c>
      <c r="B27" s="82">
        <v>9.08402208E8</v>
      </c>
      <c r="C27" s="82" t="s">
        <v>111</v>
      </c>
      <c r="D27" s="84">
        <v>2.8042768E7</v>
      </c>
      <c r="E27" s="7">
        <v>3.0</v>
      </c>
      <c r="F27" s="11">
        <v>3.0</v>
      </c>
      <c r="G27" s="12">
        <f t="shared" si="1"/>
        <v>0</v>
      </c>
      <c r="H27" s="13">
        <v>45970.0</v>
      </c>
      <c r="I27" s="14" t="s">
        <v>14</v>
      </c>
      <c r="J27" s="13">
        <v>45977.0</v>
      </c>
      <c r="K27" s="7" t="s">
        <v>63</v>
      </c>
      <c r="L27" s="9"/>
    </row>
    <row r="28" ht="15.75" customHeight="1">
      <c r="A28" s="7">
        <v>26.0</v>
      </c>
      <c r="B28" s="82">
        <v>9.08421025E8</v>
      </c>
      <c r="C28" s="82" t="s">
        <v>112</v>
      </c>
      <c r="D28" s="84">
        <v>2.8042768E7</v>
      </c>
      <c r="E28" s="7">
        <v>1.0</v>
      </c>
      <c r="F28" s="11">
        <v>1.0</v>
      </c>
      <c r="G28" s="12">
        <f t="shared" si="1"/>
        <v>0</v>
      </c>
      <c r="H28" s="13">
        <v>45970.0</v>
      </c>
      <c r="I28" s="14" t="s">
        <v>14</v>
      </c>
      <c r="J28" s="13">
        <v>45977.0</v>
      </c>
      <c r="K28" s="7" t="s">
        <v>63</v>
      </c>
      <c r="L28" s="9"/>
    </row>
    <row r="29" ht="15.75" customHeight="1">
      <c r="A29" s="7">
        <v>27.0</v>
      </c>
      <c r="B29" s="82">
        <v>9.08111101E8</v>
      </c>
      <c r="C29" s="82" t="s">
        <v>24</v>
      </c>
      <c r="D29" s="84">
        <v>2.8042768E7</v>
      </c>
      <c r="E29" s="7">
        <v>4.0</v>
      </c>
      <c r="F29" s="11">
        <v>4.0</v>
      </c>
      <c r="G29" s="12">
        <f t="shared" si="1"/>
        <v>0</v>
      </c>
      <c r="H29" s="13">
        <v>45970.0</v>
      </c>
      <c r="I29" s="14" t="s">
        <v>14</v>
      </c>
      <c r="J29" s="13">
        <v>45977.0</v>
      </c>
      <c r="K29" s="7" t="s">
        <v>63</v>
      </c>
      <c r="L29" s="9"/>
    </row>
    <row r="30" ht="15.75" customHeight="1">
      <c r="A30" s="7">
        <v>28.0</v>
      </c>
      <c r="B30" s="82">
        <v>9.08421031E8</v>
      </c>
      <c r="C30" s="82" t="s">
        <v>270</v>
      </c>
      <c r="D30" s="84">
        <v>2.8042768E7</v>
      </c>
      <c r="E30" s="7">
        <v>1.0</v>
      </c>
      <c r="F30" s="11">
        <v>1.0</v>
      </c>
      <c r="G30" s="12">
        <f t="shared" si="1"/>
        <v>0</v>
      </c>
      <c r="H30" s="13">
        <v>45970.0</v>
      </c>
      <c r="I30" s="14" t="s">
        <v>14</v>
      </c>
      <c r="J30" s="13">
        <v>45977.0</v>
      </c>
      <c r="K30" s="7" t="s">
        <v>63</v>
      </c>
      <c r="L30" s="9"/>
    </row>
    <row r="31" ht="15.75" customHeight="1">
      <c r="A31" s="7">
        <v>29.0</v>
      </c>
      <c r="B31" s="82">
        <v>9.08202189E8</v>
      </c>
      <c r="C31" s="82" t="s">
        <v>55</v>
      </c>
      <c r="D31" s="84">
        <v>2.8042768E7</v>
      </c>
      <c r="E31" s="7">
        <v>2.0</v>
      </c>
      <c r="F31" s="11">
        <v>2.0</v>
      </c>
      <c r="G31" s="12">
        <f t="shared" si="1"/>
        <v>0</v>
      </c>
      <c r="H31" s="13">
        <v>45985.0</v>
      </c>
      <c r="I31" s="14" t="s">
        <v>14</v>
      </c>
      <c r="J31" s="13">
        <v>45977.0</v>
      </c>
      <c r="K31" s="7" t="s">
        <v>63</v>
      </c>
      <c r="L31" s="9"/>
    </row>
    <row r="32" ht="15.75" customHeight="1">
      <c r="A32" s="7"/>
      <c r="B32" s="8">
        <v>9.08020201E8</v>
      </c>
      <c r="C32" s="9" t="s">
        <v>13</v>
      </c>
      <c r="D32" s="84">
        <v>2.8042768E7</v>
      </c>
      <c r="E32" s="7">
        <v>2.0</v>
      </c>
      <c r="F32" s="11"/>
      <c r="G32" s="12">
        <v>1.0</v>
      </c>
      <c r="H32" s="13">
        <v>45985.0</v>
      </c>
      <c r="I32" s="14" t="s">
        <v>14</v>
      </c>
      <c r="J32" s="13"/>
      <c r="K32" s="7"/>
      <c r="L32" s="9"/>
    </row>
    <row r="33" ht="15.75" customHeight="1">
      <c r="A33" s="7"/>
      <c r="B33" s="8"/>
      <c r="C33" s="9"/>
      <c r="D33" s="10"/>
      <c r="E33" s="7"/>
      <c r="F33" s="11"/>
      <c r="G33" s="12"/>
      <c r="H33" s="13"/>
      <c r="I33" s="14"/>
      <c r="J33" s="13"/>
      <c r="K33" s="7"/>
      <c r="L33" s="9"/>
    </row>
    <row r="34" ht="15.75" customHeight="1">
      <c r="A34" s="7"/>
      <c r="B34" s="8"/>
      <c r="C34" s="9"/>
      <c r="D34" s="10"/>
      <c r="E34" s="7"/>
      <c r="F34" s="11"/>
      <c r="G34" s="12"/>
      <c r="H34" s="13"/>
      <c r="I34" s="14"/>
      <c r="J34" s="13"/>
      <c r="K34" s="7"/>
      <c r="L34" s="9"/>
    </row>
    <row r="35" ht="15.75" customHeight="1">
      <c r="A35" s="4" t="s">
        <v>1</v>
      </c>
      <c r="B35" s="5" t="s">
        <v>2</v>
      </c>
      <c r="C35" s="4" t="s">
        <v>3</v>
      </c>
      <c r="D35" s="4" t="s">
        <v>4</v>
      </c>
      <c r="E35" s="4" t="s">
        <v>5</v>
      </c>
      <c r="F35" s="45" t="s">
        <v>11</v>
      </c>
      <c r="G35" s="32"/>
      <c r="H35" s="6" t="s">
        <v>8</v>
      </c>
    </row>
    <row r="36" ht="15.75" customHeight="1">
      <c r="A36" s="7">
        <v>1.0</v>
      </c>
      <c r="B36" s="82">
        <v>9.08114004E8</v>
      </c>
      <c r="C36" s="82" t="s">
        <v>340</v>
      </c>
      <c r="D36" s="84"/>
      <c r="E36" s="7">
        <f>31+44.6+5.4+1+1.1+1+1.15+1+1+1.2</f>
        <v>88.45</v>
      </c>
      <c r="F36" s="28" t="s">
        <v>342</v>
      </c>
      <c r="G36" s="27"/>
      <c r="H36" s="13">
        <v>45973.0</v>
      </c>
      <c r="I36" s="14"/>
      <c r="J36" s="13"/>
      <c r="K36" s="7"/>
      <c r="L36" s="9"/>
    </row>
    <row r="37" ht="15.75" customHeight="1">
      <c r="A37" s="7"/>
      <c r="B37" s="82"/>
      <c r="C37" s="82"/>
      <c r="D37" s="84"/>
      <c r="E37" s="7"/>
      <c r="F37" s="28"/>
      <c r="G37" s="27"/>
      <c r="H37" s="13"/>
      <c r="I37" s="14"/>
      <c r="J37" s="13"/>
      <c r="K37" s="7"/>
      <c r="L37" s="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F35:G35"/>
    <mergeCell ref="F36:G36"/>
    <mergeCell ref="F37:G37"/>
  </mergeCells>
  <printOptions/>
  <pageMargins bottom="0.75" footer="0.0" header="0.0" left="0.7" right="0.7" top="0.75"/>
  <pageSetup scale="27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9.08121008E8</v>
      </c>
      <c r="C3" s="20" t="s">
        <v>17</v>
      </c>
      <c r="D3" s="10">
        <v>2.7674888E7</v>
      </c>
      <c r="E3" s="16">
        <v>2.0</v>
      </c>
      <c r="F3" s="11">
        <v>2.0</v>
      </c>
      <c r="G3" s="12">
        <f t="shared" ref="G3:G11" si="1">E3-F3</f>
        <v>0</v>
      </c>
      <c r="H3" s="13">
        <v>45902.0</v>
      </c>
      <c r="I3" s="14" t="s">
        <v>14</v>
      </c>
      <c r="J3" s="13">
        <v>45940.0</v>
      </c>
      <c r="K3" s="7" t="s">
        <v>16</v>
      </c>
      <c r="L3" s="17"/>
    </row>
    <row r="4">
      <c r="A4" s="7">
        <v>2.0</v>
      </c>
      <c r="B4" s="8">
        <v>9.0812101E8</v>
      </c>
      <c r="C4" s="9" t="s">
        <v>18</v>
      </c>
      <c r="D4" s="10">
        <v>2.7674888E7</v>
      </c>
      <c r="E4" s="16">
        <v>2.0</v>
      </c>
      <c r="F4" s="11">
        <f>1+1</f>
        <v>2</v>
      </c>
      <c r="G4" s="12">
        <f t="shared" si="1"/>
        <v>0</v>
      </c>
      <c r="H4" s="13">
        <v>45902.0</v>
      </c>
      <c r="I4" s="14" t="s">
        <v>14</v>
      </c>
      <c r="J4" s="13" t="s">
        <v>344</v>
      </c>
      <c r="K4" s="7" t="s">
        <v>16</v>
      </c>
      <c r="L4" s="17"/>
    </row>
    <row r="5">
      <c r="A5" s="7">
        <v>3.0</v>
      </c>
      <c r="B5" s="8">
        <v>9.08020201E8</v>
      </c>
      <c r="C5" s="9" t="s">
        <v>13</v>
      </c>
      <c r="D5" s="10">
        <v>2.7674888E7</v>
      </c>
      <c r="E5" s="16">
        <v>1.0</v>
      </c>
      <c r="F5" s="11"/>
      <c r="G5" s="12">
        <f t="shared" si="1"/>
        <v>1</v>
      </c>
      <c r="H5" s="13">
        <v>45902.0</v>
      </c>
      <c r="I5" s="14" t="s">
        <v>14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2.7674888E7</v>
      </c>
      <c r="E6" s="16">
        <v>1.0</v>
      </c>
      <c r="F6" s="11">
        <v>1.0</v>
      </c>
      <c r="G6" s="12">
        <f t="shared" si="1"/>
        <v>0</v>
      </c>
      <c r="H6" s="13">
        <v>45902.0</v>
      </c>
      <c r="I6" s="14" t="s">
        <v>14</v>
      </c>
      <c r="J6" s="13">
        <v>45940.0</v>
      </c>
      <c r="K6" s="7" t="s">
        <v>16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2.7674888E7</v>
      </c>
      <c r="E7" s="16">
        <v>3.0</v>
      </c>
      <c r="F7" s="11">
        <v>3.0</v>
      </c>
      <c r="G7" s="12">
        <f t="shared" si="1"/>
        <v>0</v>
      </c>
      <c r="H7" s="13">
        <v>45902.0</v>
      </c>
      <c r="I7" s="14" t="s">
        <v>14</v>
      </c>
      <c r="J7" s="13">
        <v>45945.0</v>
      </c>
      <c r="K7" s="7"/>
      <c r="L7" s="17"/>
    </row>
    <row r="8">
      <c r="A8" s="7">
        <v>6.0</v>
      </c>
      <c r="B8" s="19" t="s">
        <v>20</v>
      </c>
      <c r="C8" s="20" t="s">
        <v>21</v>
      </c>
      <c r="D8" s="10">
        <v>2.7674888E7</v>
      </c>
      <c r="E8" s="16">
        <v>2.0</v>
      </c>
      <c r="F8" s="11">
        <v>2.0</v>
      </c>
      <c r="G8" s="12">
        <f t="shared" si="1"/>
        <v>0</v>
      </c>
      <c r="H8" s="13">
        <v>45902.0</v>
      </c>
      <c r="I8" s="14" t="s">
        <v>14</v>
      </c>
      <c r="J8" s="13">
        <v>45940.0</v>
      </c>
      <c r="K8" s="7" t="s">
        <v>16</v>
      </c>
      <c r="L8" s="17"/>
    </row>
    <row r="9">
      <c r="A9" s="7">
        <v>7.0</v>
      </c>
      <c r="B9" s="19">
        <v>9.08202098E8</v>
      </c>
      <c r="C9" s="20" t="s">
        <v>22</v>
      </c>
      <c r="D9" s="10">
        <v>2.7674888E7</v>
      </c>
      <c r="E9" s="16">
        <v>2.0</v>
      </c>
      <c r="F9" s="11">
        <v>2.0</v>
      </c>
      <c r="G9" s="12">
        <f t="shared" si="1"/>
        <v>0</v>
      </c>
      <c r="H9" s="13">
        <v>45902.0</v>
      </c>
      <c r="I9" s="14" t="s">
        <v>14</v>
      </c>
      <c r="J9" s="13">
        <v>45940.0</v>
      </c>
      <c r="K9" s="7" t="s">
        <v>16</v>
      </c>
      <c r="L9" s="17"/>
    </row>
    <row r="10">
      <c r="A10" s="7">
        <v>8.0</v>
      </c>
      <c r="B10" s="8">
        <v>9.08111101E8</v>
      </c>
      <c r="C10" s="9" t="s">
        <v>24</v>
      </c>
      <c r="D10" s="10">
        <v>2.7674888E7</v>
      </c>
      <c r="E10" s="16">
        <v>6.0</v>
      </c>
      <c r="F10" s="11">
        <v>6.0</v>
      </c>
      <c r="G10" s="12">
        <f t="shared" si="1"/>
        <v>0</v>
      </c>
      <c r="H10" s="13">
        <v>45902.0</v>
      </c>
      <c r="I10" s="14" t="s">
        <v>14</v>
      </c>
      <c r="J10" s="13">
        <v>45940.0</v>
      </c>
      <c r="K10" s="7" t="s">
        <v>16</v>
      </c>
      <c r="L10" s="17"/>
    </row>
    <row r="11">
      <c r="A11" s="7">
        <v>9.0</v>
      </c>
      <c r="B11" s="8">
        <v>9.0820203E8</v>
      </c>
      <c r="C11" s="9" t="s">
        <v>19</v>
      </c>
      <c r="D11" s="10">
        <v>2.7674888E7</v>
      </c>
      <c r="E11" s="16">
        <v>2.0</v>
      </c>
      <c r="F11" s="11">
        <v>2.0</v>
      </c>
      <c r="G11" s="12">
        <f t="shared" si="1"/>
        <v>0</v>
      </c>
      <c r="H11" s="13">
        <v>45902.0</v>
      </c>
      <c r="I11" s="14" t="s">
        <v>14</v>
      </c>
      <c r="J11" s="13">
        <v>45940.0</v>
      </c>
      <c r="K11" s="7" t="s">
        <v>16</v>
      </c>
      <c r="L11" s="17"/>
    </row>
    <row r="12">
      <c r="A12" s="7">
        <v>10.0</v>
      </c>
      <c r="B12" s="19" t="s">
        <v>25</v>
      </c>
      <c r="C12" s="20" t="s">
        <v>26</v>
      </c>
      <c r="D12" s="10"/>
      <c r="E12" s="16"/>
      <c r="F12" s="11">
        <v>17.0</v>
      </c>
      <c r="G12" s="12"/>
      <c r="H12" s="13"/>
      <c r="I12" s="14" t="s">
        <v>14</v>
      </c>
      <c r="J12" s="13">
        <v>45940.0</v>
      </c>
      <c r="K12" s="7" t="s">
        <v>16</v>
      </c>
      <c r="L12" s="17"/>
    </row>
    <row r="13">
      <c r="A13" s="7">
        <v>11.0</v>
      </c>
      <c r="B13" s="19" t="s">
        <v>27</v>
      </c>
      <c r="C13" s="20" t="s">
        <v>28</v>
      </c>
      <c r="D13" s="10"/>
      <c r="E13" s="16"/>
      <c r="F13" s="11">
        <v>35.0</v>
      </c>
      <c r="G13" s="12"/>
      <c r="H13" s="13"/>
      <c r="I13" s="14" t="s">
        <v>14</v>
      </c>
      <c r="J13" s="13">
        <v>45940.0</v>
      </c>
      <c r="K13" s="7" t="s">
        <v>16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2.7674771E7</v>
      </c>
      <c r="E3" s="16">
        <v>2.0</v>
      </c>
      <c r="F3" s="11">
        <v>2.0</v>
      </c>
      <c r="G3" s="12">
        <f t="shared" ref="G3:G18" si="1">E3-F3</f>
        <v>0</v>
      </c>
      <c r="H3" s="13">
        <v>45902.0</v>
      </c>
      <c r="I3" s="14" t="s">
        <v>14</v>
      </c>
      <c r="J3" s="13">
        <v>45934.0</v>
      </c>
      <c r="K3" s="7" t="s">
        <v>16</v>
      </c>
      <c r="L3" s="17"/>
    </row>
    <row r="4">
      <c r="A4" s="7">
        <v>2.0</v>
      </c>
      <c r="B4" s="8">
        <v>9.08020201E8</v>
      </c>
      <c r="C4" s="9" t="s">
        <v>13</v>
      </c>
      <c r="D4" s="39" t="s">
        <v>346</v>
      </c>
      <c r="E4" s="16">
        <f>1+2</f>
        <v>3</v>
      </c>
      <c r="F4" s="11"/>
      <c r="G4" s="12">
        <f t="shared" si="1"/>
        <v>3</v>
      </c>
      <c r="H4" s="13" t="s">
        <v>347</v>
      </c>
      <c r="I4" s="14" t="s">
        <v>14</v>
      </c>
      <c r="J4" s="13"/>
      <c r="K4" s="7"/>
      <c r="L4" s="17"/>
    </row>
    <row r="5">
      <c r="A5" s="7">
        <v>3.0</v>
      </c>
      <c r="B5" s="19" t="s">
        <v>103</v>
      </c>
      <c r="C5" s="20" t="s">
        <v>104</v>
      </c>
      <c r="D5" s="10">
        <v>2.7674771E7</v>
      </c>
      <c r="E5" s="16">
        <v>1.0</v>
      </c>
      <c r="F5" s="11">
        <v>1.0</v>
      </c>
      <c r="G5" s="12">
        <f t="shared" si="1"/>
        <v>0</v>
      </c>
      <c r="H5" s="13">
        <v>45902.0</v>
      </c>
      <c r="I5" s="14" t="s">
        <v>14</v>
      </c>
      <c r="J5" s="13">
        <v>45934.0</v>
      </c>
      <c r="K5" s="7" t="s">
        <v>16</v>
      </c>
      <c r="L5" s="17"/>
    </row>
    <row r="6">
      <c r="A6" s="7">
        <v>4.0</v>
      </c>
      <c r="B6" s="19">
        <v>9.08122011E8</v>
      </c>
      <c r="C6" s="20" t="s">
        <v>23</v>
      </c>
      <c r="D6" s="10">
        <v>2.7674771E7</v>
      </c>
      <c r="E6" s="16">
        <v>3.0</v>
      </c>
      <c r="F6" s="11">
        <v>3.0</v>
      </c>
      <c r="G6" s="12">
        <f t="shared" si="1"/>
        <v>0</v>
      </c>
      <c r="H6" s="13">
        <v>45902.0</v>
      </c>
      <c r="I6" s="14" t="s">
        <v>14</v>
      </c>
      <c r="J6" s="13">
        <v>45929.0</v>
      </c>
      <c r="K6" s="7" t="s">
        <v>16</v>
      </c>
      <c r="L6" s="17"/>
    </row>
    <row r="7">
      <c r="A7" s="7">
        <v>5.0</v>
      </c>
      <c r="B7" s="19" t="s">
        <v>20</v>
      </c>
      <c r="C7" s="20" t="s">
        <v>21</v>
      </c>
      <c r="D7" s="39" t="s">
        <v>346</v>
      </c>
      <c r="E7" s="16">
        <f t="shared" ref="E7:F7" si="2">2+2</f>
        <v>4</v>
      </c>
      <c r="F7" s="11">
        <f t="shared" si="2"/>
        <v>4</v>
      </c>
      <c r="G7" s="12">
        <f t="shared" si="1"/>
        <v>0</v>
      </c>
      <c r="H7" s="13" t="s">
        <v>347</v>
      </c>
      <c r="I7" s="14" t="s">
        <v>14</v>
      </c>
      <c r="J7" s="13" t="s">
        <v>348</v>
      </c>
      <c r="K7" s="7" t="s">
        <v>16</v>
      </c>
      <c r="L7" s="17"/>
    </row>
    <row r="8">
      <c r="A8" s="7">
        <v>6.0</v>
      </c>
      <c r="B8" s="19">
        <v>9.08202098E8</v>
      </c>
      <c r="C8" s="20" t="s">
        <v>22</v>
      </c>
      <c r="D8" s="10">
        <v>2.7674771E7</v>
      </c>
      <c r="E8" s="16">
        <v>2.0</v>
      </c>
      <c r="F8" s="11">
        <v>2.0</v>
      </c>
      <c r="G8" s="12">
        <f t="shared" si="1"/>
        <v>0</v>
      </c>
      <c r="H8" s="13">
        <v>45902.0</v>
      </c>
      <c r="I8" s="14" t="s">
        <v>14</v>
      </c>
      <c r="J8" s="13">
        <v>45934.0</v>
      </c>
      <c r="K8" s="7" t="s">
        <v>16</v>
      </c>
      <c r="L8" s="17"/>
    </row>
    <row r="9">
      <c r="A9" s="7">
        <v>7.0</v>
      </c>
      <c r="B9" s="8">
        <v>9.08111101E8</v>
      </c>
      <c r="C9" s="9" t="s">
        <v>24</v>
      </c>
      <c r="D9" s="10">
        <v>2.7674771E7</v>
      </c>
      <c r="E9" s="16">
        <v>6.0</v>
      </c>
      <c r="F9" s="11">
        <f>6+4</f>
        <v>10</v>
      </c>
      <c r="G9" s="12">
        <f t="shared" si="1"/>
        <v>-4</v>
      </c>
      <c r="H9" s="13">
        <v>45902.0</v>
      </c>
      <c r="I9" s="14" t="s">
        <v>14</v>
      </c>
      <c r="J9" s="13" t="s">
        <v>348</v>
      </c>
      <c r="K9" s="7" t="s">
        <v>16</v>
      </c>
      <c r="L9" s="17"/>
    </row>
    <row r="10">
      <c r="A10" s="7">
        <v>8.0</v>
      </c>
      <c r="B10" s="8">
        <v>9.0820203E8</v>
      </c>
      <c r="C10" s="9" t="s">
        <v>19</v>
      </c>
      <c r="D10" s="39" t="s">
        <v>346</v>
      </c>
      <c r="E10" s="16">
        <f>2+2</f>
        <v>4</v>
      </c>
      <c r="F10" s="11">
        <v>6.0</v>
      </c>
      <c r="G10" s="12">
        <f t="shared" si="1"/>
        <v>-2</v>
      </c>
      <c r="H10" s="13" t="s">
        <v>347</v>
      </c>
      <c r="I10" s="14" t="s">
        <v>14</v>
      </c>
      <c r="J10" s="13">
        <v>45934.0</v>
      </c>
      <c r="K10" s="7" t="s">
        <v>16</v>
      </c>
      <c r="L10" s="17"/>
    </row>
    <row r="11">
      <c r="A11" s="7">
        <v>9.0</v>
      </c>
      <c r="B11" s="8" t="s">
        <v>25</v>
      </c>
      <c r="C11" s="9" t="s">
        <v>26</v>
      </c>
      <c r="D11" s="10"/>
      <c r="E11" s="16"/>
      <c r="F11" s="11">
        <v>34.0</v>
      </c>
      <c r="G11" s="12">
        <f t="shared" si="1"/>
        <v>-34</v>
      </c>
      <c r="H11" s="13"/>
      <c r="I11" s="14"/>
      <c r="J11" s="13">
        <v>45927.0</v>
      </c>
      <c r="K11" s="7" t="s">
        <v>16</v>
      </c>
      <c r="L11" s="17"/>
    </row>
    <row r="12">
      <c r="A12" s="7">
        <v>10.0</v>
      </c>
      <c r="B12" s="8" t="s">
        <v>27</v>
      </c>
      <c r="C12" s="9" t="s">
        <v>28</v>
      </c>
      <c r="D12" s="10"/>
      <c r="E12" s="16"/>
      <c r="F12" s="11">
        <v>57.0</v>
      </c>
      <c r="G12" s="12">
        <f t="shared" si="1"/>
        <v>-57</v>
      </c>
      <c r="H12" s="13"/>
      <c r="I12" s="14"/>
      <c r="J12" s="13">
        <v>45927.0</v>
      </c>
      <c r="K12" s="7" t="s">
        <v>16</v>
      </c>
      <c r="L12" s="17"/>
    </row>
    <row r="13">
      <c r="A13" s="7">
        <v>11.0</v>
      </c>
      <c r="B13" s="8">
        <v>9.0812101E8</v>
      </c>
      <c r="C13" s="9" t="s">
        <v>18</v>
      </c>
      <c r="D13" s="10">
        <v>2.7674771E7</v>
      </c>
      <c r="E13" s="16">
        <v>1.0</v>
      </c>
      <c r="F13" s="11">
        <v>1.0</v>
      </c>
      <c r="G13" s="12">
        <f t="shared" si="1"/>
        <v>0</v>
      </c>
      <c r="H13" s="13">
        <v>45902.0</v>
      </c>
      <c r="I13" s="14" t="s">
        <v>14</v>
      </c>
      <c r="J13" s="13">
        <v>45929.0</v>
      </c>
      <c r="K13" s="7" t="s">
        <v>16</v>
      </c>
      <c r="L13" s="17"/>
    </row>
    <row r="14">
      <c r="A14" s="7">
        <v>12.0</v>
      </c>
      <c r="B14" s="8">
        <v>9.08402208E8</v>
      </c>
      <c r="C14" s="9" t="s">
        <v>111</v>
      </c>
      <c r="D14" s="10">
        <v>2.8118588E7</v>
      </c>
      <c r="E14" s="16">
        <v>2.0</v>
      </c>
      <c r="F14" s="11">
        <v>2.0</v>
      </c>
      <c r="G14" s="12">
        <f t="shared" si="1"/>
        <v>0</v>
      </c>
      <c r="H14" s="13">
        <v>45985.0</v>
      </c>
      <c r="I14" s="14" t="s">
        <v>14</v>
      </c>
      <c r="J14" s="13">
        <v>45988.0</v>
      </c>
      <c r="K14" s="7" t="s">
        <v>16</v>
      </c>
      <c r="L14" s="17"/>
    </row>
    <row r="15">
      <c r="A15" s="7">
        <v>13.0</v>
      </c>
      <c r="B15" s="8">
        <v>9.08371014E8</v>
      </c>
      <c r="C15" s="9" t="s">
        <v>113</v>
      </c>
      <c r="D15" s="10">
        <v>2.8118588E7</v>
      </c>
      <c r="E15" s="16">
        <v>2.0</v>
      </c>
      <c r="F15" s="11">
        <v>2.0</v>
      </c>
      <c r="G15" s="12">
        <f t="shared" si="1"/>
        <v>0</v>
      </c>
      <c r="H15" s="13">
        <v>45985.0</v>
      </c>
      <c r="I15" s="14" t="s">
        <v>14</v>
      </c>
      <c r="J15" s="13">
        <v>45988.0</v>
      </c>
      <c r="K15" s="7" t="s">
        <v>16</v>
      </c>
      <c r="L15" s="17"/>
    </row>
    <row r="16">
      <c r="A16" s="7">
        <v>14.0</v>
      </c>
      <c r="B16" s="8">
        <v>9.08202189E8</v>
      </c>
      <c r="C16" s="9" t="s">
        <v>55</v>
      </c>
      <c r="D16" s="10">
        <v>2.8118588E7</v>
      </c>
      <c r="E16" s="16">
        <v>2.0</v>
      </c>
      <c r="F16" s="11">
        <v>2.0</v>
      </c>
      <c r="G16" s="12">
        <f t="shared" si="1"/>
        <v>0</v>
      </c>
      <c r="H16" s="13">
        <v>45985.0</v>
      </c>
      <c r="I16" s="14" t="s">
        <v>14</v>
      </c>
      <c r="J16" s="13">
        <v>45988.0</v>
      </c>
      <c r="K16" s="7" t="s">
        <v>16</v>
      </c>
      <c r="L16" s="17"/>
    </row>
    <row r="17">
      <c r="A17" s="7">
        <v>15.0</v>
      </c>
      <c r="B17" s="8">
        <v>9.08421025E8</v>
      </c>
      <c r="C17" s="9" t="s">
        <v>112</v>
      </c>
      <c r="D17" s="10">
        <v>2.8118588E7</v>
      </c>
      <c r="E17" s="16">
        <v>2.0</v>
      </c>
      <c r="F17" s="11">
        <v>2.0</v>
      </c>
      <c r="G17" s="12">
        <f t="shared" si="1"/>
        <v>0</v>
      </c>
      <c r="H17" s="13">
        <v>45985.0</v>
      </c>
      <c r="I17" s="14" t="s">
        <v>14</v>
      </c>
      <c r="J17" s="13">
        <v>45988.0</v>
      </c>
      <c r="K17" s="7" t="s">
        <v>16</v>
      </c>
      <c r="L17" s="17"/>
    </row>
    <row r="18">
      <c r="A18" s="7">
        <v>16.0</v>
      </c>
      <c r="B18" s="8"/>
      <c r="C18" s="9"/>
      <c r="D18" s="10"/>
      <c r="E18" s="16"/>
      <c r="F18" s="11"/>
      <c r="G18" s="12">
        <f t="shared" si="1"/>
        <v>0</v>
      </c>
      <c r="H18" s="13"/>
      <c r="I18" s="14"/>
      <c r="J18" s="13"/>
      <c r="K18" s="7"/>
      <c r="L18" s="17"/>
    </row>
    <row r="19">
      <c r="A19" s="85" t="s">
        <v>349</v>
      </c>
      <c r="B19" s="85" t="s">
        <v>350</v>
      </c>
      <c r="C19" s="85" t="s">
        <v>351</v>
      </c>
      <c r="D19" s="85" t="s">
        <v>352</v>
      </c>
      <c r="E19" s="85" t="s">
        <v>89</v>
      </c>
      <c r="F19" s="85" t="s">
        <v>353</v>
      </c>
    </row>
    <row r="20">
      <c r="A20" s="86">
        <v>1.0</v>
      </c>
      <c r="B20" s="8" t="s">
        <v>25</v>
      </c>
      <c r="C20" s="9" t="s">
        <v>26</v>
      </c>
      <c r="D20" s="43">
        <v>4.0</v>
      </c>
      <c r="E20" s="87">
        <v>45933.0</v>
      </c>
      <c r="F20" s="43" t="s">
        <v>354</v>
      </c>
    </row>
    <row r="21" ht="15.75" customHeight="1">
      <c r="A21" s="86">
        <v>2.0</v>
      </c>
      <c r="B21" s="8" t="s">
        <v>27</v>
      </c>
      <c r="C21" s="9" t="s">
        <v>28</v>
      </c>
      <c r="D21" s="43">
        <v>4.0</v>
      </c>
      <c r="E21" s="87">
        <v>45933.0</v>
      </c>
      <c r="F21" s="43" t="s">
        <v>354</v>
      </c>
    </row>
    <row r="22" ht="15.75" customHeight="1"/>
    <row r="23" ht="15.75" customHeight="1"/>
    <row r="24" ht="15.75" customHeight="1"/>
    <row r="25" ht="15.75" customHeight="1">
      <c r="C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C32" s="69"/>
      <c r="D32" s="7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6.75" customHeight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0.0" customHeight="1">
      <c r="A3" s="7">
        <v>1.0</v>
      </c>
      <c r="B3" s="20">
        <v>9.05727926E8</v>
      </c>
      <c r="C3" s="38" t="s">
        <v>356</v>
      </c>
      <c r="D3" s="7">
        <v>2.7608618E7</v>
      </c>
      <c r="E3" s="7">
        <v>1.0</v>
      </c>
      <c r="F3" s="11"/>
      <c r="G3" s="12">
        <f>E3-F3</f>
        <v>1</v>
      </c>
      <c r="H3" s="21">
        <v>45900.0</v>
      </c>
      <c r="I3" s="9" t="s">
        <v>14</v>
      </c>
      <c r="J3" s="22"/>
      <c r="K3" s="17"/>
      <c r="L3" s="17"/>
    </row>
    <row r="4" ht="30.0" customHeight="1">
      <c r="A4" s="7">
        <v>2.0</v>
      </c>
      <c r="B4" s="20">
        <v>9.05741282E8</v>
      </c>
      <c r="C4" s="38" t="s">
        <v>357</v>
      </c>
      <c r="D4" s="7">
        <v>2.7608618E7</v>
      </c>
      <c r="E4" s="7">
        <v>1.0</v>
      </c>
      <c r="F4" s="11"/>
      <c r="G4" s="12">
        <v>1.0</v>
      </c>
      <c r="H4" s="21">
        <v>45900.0</v>
      </c>
      <c r="I4" s="9" t="s">
        <v>14</v>
      </c>
      <c r="J4" s="22"/>
      <c r="K4" s="7"/>
      <c r="L4" s="17"/>
    </row>
    <row r="5" ht="30.0" customHeight="1"/>
    <row r="6" ht="30.0" customHeight="1"/>
    <row r="7" ht="30.0" customHeight="1"/>
    <row r="8" ht="30.0" customHeight="1"/>
    <row r="9" ht="30.0" customHeight="1"/>
    <row r="10" ht="30.0" customHeight="1">
      <c r="F10" s="18">
        <v>6.0</v>
      </c>
    </row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9.08202098E8</v>
      </c>
      <c r="C3" s="20" t="s">
        <v>22</v>
      </c>
      <c r="D3" s="10">
        <v>2.761616E7</v>
      </c>
      <c r="E3" s="16">
        <v>2.0</v>
      </c>
      <c r="F3" s="11"/>
      <c r="G3" s="12">
        <f t="shared" ref="G3:G22" si="1">E3-F3</f>
        <v>2</v>
      </c>
      <c r="H3" s="13">
        <v>45894.0</v>
      </c>
      <c r="I3" s="14" t="s">
        <v>14</v>
      </c>
      <c r="J3" s="13"/>
      <c r="K3" s="7"/>
      <c r="L3" s="17"/>
    </row>
    <row r="4">
      <c r="A4" s="7">
        <v>2.0</v>
      </c>
      <c r="B4" s="8" t="s">
        <v>25</v>
      </c>
      <c r="C4" s="9" t="s">
        <v>26</v>
      </c>
      <c r="D4" s="10">
        <v>2.761616E7</v>
      </c>
      <c r="E4" s="16">
        <v>98.0</v>
      </c>
      <c r="F4" s="11">
        <v>102.0</v>
      </c>
      <c r="G4" s="12">
        <f t="shared" si="1"/>
        <v>-4</v>
      </c>
      <c r="H4" s="13">
        <v>45895.0</v>
      </c>
      <c r="I4" s="14" t="s">
        <v>14</v>
      </c>
      <c r="J4" s="13">
        <v>45907.0</v>
      </c>
      <c r="K4" s="7" t="s">
        <v>283</v>
      </c>
      <c r="L4" s="17"/>
    </row>
    <row r="5">
      <c r="A5" s="7">
        <v>3.0</v>
      </c>
      <c r="B5" s="8" t="s">
        <v>27</v>
      </c>
      <c r="C5" s="9" t="s">
        <v>28</v>
      </c>
      <c r="D5" s="10">
        <v>2.761616E7</v>
      </c>
      <c r="E5" s="16">
        <v>40.0</v>
      </c>
      <c r="F5" s="11">
        <v>46.0</v>
      </c>
      <c r="G5" s="12">
        <f t="shared" si="1"/>
        <v>-6</v>
      </c>
      <c r="H5" s="13">
        <v>45895.0</v>
      </c>
      <c r="I5" s="14" t="s">
        <v>14</v>
      </c>
      <c r="J5" s="13">
        <v>45907.0</v>
      </c>
      <c r="K5" s="7" t="s">
        <v>283</v>
      </c>
      <c r="L5" s="17"/>
    </row>
    <row r="6">
      <c r="A6" s="7">
        <v>4.0</v>
      </c>
      <c r="B6" s="8">
        <v>9.08111101E8</v>
      </c>
      <c r="C6" s="9" t="s">
        <v>24</v>
      </c>
      <c r="D6" s="10">
        <v>2.761616E7</v>
      </c>
      <c r="E6" s="16">
        <v>10.0</v>
      </c>
      <c r="F6" s="11"/>
      <c r="G6" s="12">
        <f t="shared" si="1"/>
        <v>10</v>
      </c>
      <c r="H6" s="13">
        <v>45895.0</v>
      </c>
      <c r="I6" s="14" t="s">
        <v>14</v>
      </c>
      <c r="J6" s="13"/>
      <c r="K6" s="7"/>
      <c r="L6" s="17"/>
    </row>
    <row r="7">
      <c r="A7" s="7">
        <v>5.0</v>
      </c>
      <c r="B7" s="8">
        <v>9.08121008E8</v>
      </c>
      <c r="C7" s="9" t="s">
        <v>17</v>
      </c>
      <c r="D7" s="10">
        <v>2.761616E7</v>
      </c>
      <c r="E7" s="16">
        <v>4.0</v>
      </c>
      <c r="F7" s="11">
        <v>4.0</v>
      </c>
      <c r="G7" s="12">
        <f t="shared" si="1"/>
        <v>0</v>
      </c>
      <c r="H7" s="13">
        <v>45902.0</v>
      </c>
      <c r="I7" s="14" t="s">
        <v>14</v>
      </c>
      <c r="J7" s="13">
        <v>45908.0</v>
      </c>
      <c r="K7" s="7" t="s">
        <v>283</v>
      </c>
      <c r="L7" s="17"/>
    </row>
    <row r="8">
      <c r="A8" s="7">
        <v>6.0</v>
      </c>
      <c r="B8" s="8">
        <v>9.0812101E8</v>
      </c>
      <c r="C8" s="9" t="s">
        <v>18</v>
      </c>
      <c r="D8" s="10">
        <v>2.761616E7</v>
      </c>
      <c r="E8" s="16">
        <v>2.0</v>
      </c>
      <c r="F8" s="11">
        <f>1+1</f>
        <v>2</v>
      </c>
      <c r="G8" s="12">
        <f t="shared" si="1"/>
        <v>0</v>
      </c>
      <c r="H8" s="13">
        <v>45902.0</v>
      </c>
      <c r="I8" s="14" t="s">
        <v>14</v>
      </c>
      <c r="J8" s="13" t="s">
        <v>359</v>
      </c>
      <c r="K8" s="7" t="s">
        <v>283</v>
      </c>
      <c r="L8" s="17"/>
    </row>
    <row r="9">
      <c r="A9" s="7">
        <v>7.0</v>
      </c>
      <c r="B9" s="8">
        <v>9.08020201E8</v>
      </c>
      <c r="C9" s="9" t="s">
        <v>13</v>
      </c>
      <c r="D9" s="10">
        <v>2.761616E7</v>
      </c>
      <c r="E9" s="16">
        <f>1+4</f>
        <v>5</v>
      </c>
      <c r="F9" s="11"/>
      <c r="G9" s="12">
        <f t="shared" si="1"/>
        <v>5</v>
      </c>
      <c r="H9" s="13" t="s">
        <v>360</v>
      </c>
      <c r="I9" s="14" t="s">
        <v>14</v>
      </c>
      <c r="J9" s="13"/>
      <c r="K9" s="7"/>
      <c r="L9" s="17"/>
    </row>
    <row r="10">
      <c r="A10" s="7">
        <v>8.0</v>
      </c>
      <c r="B10" s="8">
        <v>9.08122011E8</v>
      </c>
      <c r="C10" s="9" t="s">
        <v>23</v>
      </c>
      <c r="D10" s="10">
        <v>2.761616E7</v>
      </c>
      <c r="E10" s="16">
        <v>3.0</v>
      </c>
      <c r="F10" s="11">
        <v>6.0</v>
      </c>
      <c r="G10" s="12">
        <f t="shared" si="1"/>
        <v>-3</v>
      </c>
      <c r="H10" s="13">
        <v>45903.0</v>
      </c>
      <c r="I10" s="14" t="s">
        <v>14</v>
      </c>
      <c r="J10" s="13">
        <v>45908.0</v>
      </c>
      <c r="K10" s="7" t="s">
        <v>283</v>
      </c>
      <c r="L10" s="17"/>
    </row>
    <row r="11">
      <c r="A11" s="7">
        <v>9.0</v>
      </c>
      <c r="B11" s="8">
        <v>9.0820203E8</v>
      </c>
      <c r="C11" s="9" t="s">
        <v>19</v>
      </c>
      <c r="D11" s="10">
        <v>2.761616E7</v>
      </c>
      <c r="E11" s="16">
        <v>2.0</v>
      </c>
      <c r="F11" s="11">
        <v>2.0</v>
      </c>
      <c r="G11" s="12">
        <f t="shared" si="1"/>
        <v>0</v>
      </c>
      <c r="H11" s="13">
        <v>45903.0</v>
      </c>
      <c r="I11" s="14" t="s">
        <v>14</v>
      </c>
      <c r="J11" s="13"/>
      <c r="K11" s="7"/>
      <c r="L11" s="17"/>
    </row>
    <row r="12">
      <c r="A12" s="7">
        <v>10.0</v>
      </c>
      <c r="B12" s="8" t="s">
        <v>103</v>
      </c>
      <c r="C12" s="9" t="s">
        <v>104</v>
      </c>
      <c r="D12" s="10">
        <v>2.761616E7</v>
      </c>
      <c r="E12" s="16">
        <v>1.0</v>
      </c>
      <c r="F12" s="11">
        <v>1.0</v>
      </c>
      <c r="G12" s="12">
        <f t="shared" si="1"/>
        <v>0</v>
      </c>
      <c r="H12" s="13">
        <v>45907.0</v>
      </c>
      <c r="I12" s="14" t="s">
        <v>14</v>
      </c>
      <c r="J12" s="13">
        <v>45908.0</v>
      </c>
      <c r="K12" s="7" t="s">
        <v>283</v>
      </c>
      <c r="L12" s="17"/>
    </row>
    <row r="13">
      <c r="A13" s="7">
        <v>11.0</v>
      </c>
      <c r="B13" s="8">
        <v>9.08202054E8</v>
      </c>
      <c r="C13" s="9" t="s">
        <v>21</v>
      </c>
      <c r="D13" s="39" t="s">
        <v>361</v>
      </c>
      <c r="E13" s="16">
        <f>4+2</f>
        <v>6</v>
      </c>
      <c r="F13" s="11">
        <v>2.0</v>
      </c>
      <c r="G13" s="12">
        <f t="shared" si="1"/>
        <v>4</v>
      </c>
      <c r="H13" s="13" t="s">
        <v>362</v>
      </c>
      <c r="I13" s="14" t="s">
        <v>14</v>
      </c>
      <c r="J13" s="13">
        <v>45908.0</v>
      </c>
      <c r="K13" s="7" t="s">
        <v>283</v>
      </c>
      <c r="L13" s="17"/>
    </row>
    <row r="14">
      <c r="A14" s="7">
        <v>12.0</v>
      </c>
      <c r="B14" s="8">
        <v>9.08202098E8</v>
      </c>
      <c r="C14" s="9" t="s">
        <v>22</v>
      </c>
      <c r="D14" s="10">
        <v>2.7840464E7</v>
      </c>
      <c r="E14" s="16">
        <v>4.0</v>
      </c>
      <c r="F14" s="11">
        <v>2.0</v>
      </c>
      <c r="G14" s="12">
        <f t="shared" si="1"/>
        <v>2</v>
      </c>
      <c r="H14" s="13">
        <v>45957.0</v>
      </c>
      <c r="I14" s="14" t="s">
        <v>14</v>
      </c>
      <c r="J14" s="13">
        <v>45908.0</v>
      </c>
      <c r="K14" s="7" t="s">
        <v>283</v>
      </c>
      <c r="L14" s="17"/>
    </row>
    <row r="15">
      <c r="A15" s="7">
        <v>13.0</v>
      </c>
      <c r="B15" s="8">
        <v>9.08111101E8</v>
      </c>
      <c r="C15" s="9" t="s">
        <v>24</v>
      </c>
      <c r="D15" s="10"/>
      <c r="E15" s="16"/>
      <c r="F15" s="11">
        <v>6.0</v>
      </c>
      <c r="G15" s="12">
        <f t="shared" si="1"/>
        <v>-6</v>
      </c>
      <c r="H15" s="13"/>
      <c r="I15" s="14"/>
      <c r="J15" s="13">
        <v>45908.0</v>
      </c>
      <c r="K15" s="7" t="s">
        <v>283</v>
      </c>
      <c r="L15" s="17"/>
    </row>
    <row r="16">
      <c r="A16" s="7">
        <v>14.0</v>
      </c>
      <c r="B16" s="8">
        <v>9.0820203E8</v>
      </c>
      <c r="C16" s="9" t="s">
        <v>363</v>
      </c>
      <c r="D16" s="10">
        <v>2.7840464E7</v>
      </c>
      <c r="E16" s="16">
        <v>4.0</v>
      </c>
      <c r="F16" s="11">
        <v>2.0</v>
      </c>
      <c r="G16" s="12">
        <f t="shared" si="1"/>
        <v>2</v>
      </c>
      <c r="H16" s="13">
        <v>45937.0</v>
      </c>
      <c r="I16" s="14" t="s">
        <v>14</v>
      </c>
      <c r="J16" s="13">
        <v>45908.0</v>
      </c>
      <c r="K16" s="7" t="s">
        <v>283</v>
      </c>
      <c r="L16" s="17"/>
    </row>
    <row r="17">
      <c r="A17" s="7">
        <v>15.0</v>
      </c>
      <c r="B17" s="8">
        <v>9.08371013E8</v>
      </c>
      <c r="C17" s="9" t="s">
        <v>364</v>
      </c>
      <c r="D17" s="10">
        <v>2.7840464E7</v>
      </c>
      <c r="E17" s="16">
        <v>2.0</v>
      </c>
      <c r="F17" s="11">
        <v>2.0</v>
      </c>
      <c r="G17" s="12">
        <f t="shared" si="1"/>
        <v>0</v>
      </c>
      <c r="H17" s="13">
        <v>45937.0</v>
      </c>
      <c r="I17" s="14" t="s">
        <v>14</v>
      </c>
      <c r="J17" s="13">
        <v>45938.0</v>
      </c>
      <c r="K17" s="7" t="s">
        <v>16</v>
      </c>
      <c r="L17" s="17"/>
    </row>
    <row r="18">
      <c r="A18" s="7">
        <v>16.0</v>
      </c>
      <c r="B18" s="8">
        <v>9.08402208E8</v>
      </c>
      <c r="C18" s="9" t="s">
        <v>111</v>
      </c>
      <c r="D18" s="10">
        <v>2.7840464E7</v>
      </c>
      <c r="E18" s="16">
        <v>4.0</v>
      </c>
      <c r="F18" s="11">
        <v>4.0</v>
      </c>
      <c r="G18" s="12">
        <f t="shared" si="1"/>
        <v>0</v>
      </c>
      <c r="H18" s="13">
        <v>45937.0</v>
      </c>
      <c r="I18" s="14" t="s">
        <v>14</v>
      </c>
      <c r="J18" s="13">
        <v>45938.0</v>
      </c>
      <c r="K18" s="7" t="s">
        <v>16</v>
      </c>
      <c r="L18" s="17"/>
    </row>
    <row r="19">
      <c r="A19" s="7">
        <v>17.0</v>
      </c>
      <c r="B19" s="8">
        <v>9.08421025E8</v>
      </c>
      <c r="C19" s="9" t="s">
        <v>112</v>
      </c>
      <c r="D19" s="10">
        <v>2.7840464E7</v>
      </c>
      <c r="E19" s="16">
        <v>4.0</v>
      </c>
      <c r="F19" s="11">
        <v>4.0</v>
      </c>
      <c r="G19" s="12">
        <f t="shared" si="1"/>
        <v>0</v>
      </c>
      <c r="H19" s="13">
        <v>45937.0</v>
      </c>
      <c r="I19" s="14" t="s">
        <v>14</v>
      </c>
      <c r="J19" s="13">
        <v>45938.0</v>
      </c>
      <c r="K19" s="7" t="s">
        <v>16</v>
      </c>
      <c r="L19" s="17"/>
    </row>
    <row r="20">
      <c r="A20" s="7">
        <v>18.0</v>
      </c>
      <c r="B20" s="8">
        <v>9.08111101E8</v>
      </c>
      <c r="C20" s="9" t="s">
        <v>24</v>
      </c>
      <c r="D20" s="10">
        <v>2.7840464E7</v>
      </c>
      <c r="E20" s="16"/>
      <c r="F20" s="11">
        <v>8.0</v>
      </c>
      <c r="G20" s="12">
        <f t="shared" si="1"/>
        <v>-8</v>
      </c>
      <c r="H20" s="13"/>
      <c r="I20" s="14"/>
      <c r="J20" s="13">
        <v>45938.0</v>
      </c>
      <c r="K20" s="7" t="s">
        <v>16</v>
      </c>
      <c r="L20" s="17"/>
    </row>
    <row r="21" ht="15.75" customHeight="1">
      <c r="A21" s="7">
        <v>19.0</v>
      </c>
      <c r="B21" s="8">
        <v>9.08371014E8</v>
      </c>
      <c r="C21" s="9" t="s">
        <v>365</v>
      </c>
      <c r="D21" s="10">
        <v>2.7840464E7</v>
      </c>
      <c r="E21" s="16">
        <v>2.0</v>
      </c>
      <c r="F21" s="11">
        <v>2.0</v>
      </c>
      <c r="G21" s="12">
        <f t="shared" si="1"/>
        <v>0</v>
      </c>
      <c r="H21" s="13">
        <v>45937.0</v>
      </c>
      <c r="I21" s="14" t="s">
        <v>14</v>
      </c>
      <c r="J21" s="13">
        <v>45938.0</v>
      </c>
      <c r="K21" s="7" t="s">
        <v>16</v>
      </c>
      <c r="L21" s="17"/>
    </row>
    <row r="22" ht="15.75" customHeight="1">
      <c r="A22" s="7"/>
      <c r="B22" s="8">
        <v>9.08202189E8</v>
      </c>
      <c r="C22" s="9" t="s">
        <v>55</v>
      </c>
      <c r="D22" s="10"/>
      <c r="E22" s="16"/>
      <c r="F22" s="11">
        <v>4.0</v>
      </c>
      <c r="G22" s="12">
        <f t="shared" si="1"/>
        <v>-4</v>
      </c>
      <c r="H22" s="13"/>
      <c r="I22" s="14"/>
      <c r="J22" s="13">
        <v>45938.0</v>
      </c>
      <c r="K22" s="7" t="s">
        <v>16</v>
      </c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2.7584823E7</v>
      </c>
      <c r="E3" s="16">
        <v>2.0</v>
      </c>
      <c r="F3" s="11">
        <v>2.0</v>
      </c>
      <c r="G3" s="12">
        <f t="shared" ref="G3:G22" si="1">E3-F3</f>
        <v>0</v>
      </c>
      <c r="H3" s="13">
        <v>45887.0</v>
      </c>
      <c r="I3" s="14" t="s">
        <v>14</v>
      </c>
      <c r="J3" s="13">
        <v>45904.0</v>
      </c>
      <c r="K3" s="7" t="s">
        <v>283</v>
      </c>
      <c r="L3" s="17"/>
    </row>
    <row r="4">
      <c r="A4" s="7">
        <v>2.0</v>
      </c>
      <c r="B4" s="8">
        <v>9.0812101E8</v>
      </c>
      <c r="C4" s="9" t="s">
        <v>18</v>
      </c>
      <c r="D4" s="10">
        <v>2.7584823E7</v>
      </c>
      <c r="E4" s="16">
        <v>2.0</v>
      </c>
      <c r="F4" s="11">
        <f>1+1</f>
        <v>2</v>
      </c>
      <c r="G4" s="12">
        <f t="shared" si="1"/>
        <v>0</v>
      </c>
      <c r="H4" s="13">
        <v>45887.0</v>
      </c>
      <c r="I4" s="14" t="s">
        <v>14</v>
      </c>
      <c r="J4" s="13" t="s">
        <v>367</v>
      </c>
      <c r="K4" s="7" t="s">
        <v>283</v>
      </c>
      <c r="L4" s="17"/>
    </row>
    <row r="5">
      <c r="A5" s="7">
        <v>3.0</v>
      </c>
      <c r="B5" s="8">
        <v>9.08020201E8</v>
      </c>
      <c r="C5" s="9" t="s">
        <v>13</v>
      </c>
      <c r="D5" s="10">
        <v>2.7584823E7</v>
      </c>
      <c r="E5" s="16">
        <v>1.0</v>
      </c>
      <c r="F5" s="11"/>
      <c r="G5" s="12">
        <f t="shared" si="1"/>
        <v>1</v>
      </c>
      <c r="H5" s="13">
        <v>45887.0</v>
      </c>
      <c r="I5" s="14" t="s">
        <v>14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2.7584823E7</v>
      </c>
      <c r="E6" s="16">
        <v>1.0</v>
      </c>
      <c r="F6" s="11">
        <v>1.0</v>
      </c>
      <c r="G6" s="12">
        <f t="shared" si="1"/>
        <v>0</v>
      </c>
      <c r="H6" s="13">
        <v>45887.0</v>
      </c>
      <c r="I6" s="14" t="s">
        <v>14</v>
      </c>
      <c r="J6" s="13">
        <v>45904.0</v>
      </c>
      <c r="K6" s="7" t="s">
        <v>283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2.7584823E7</v>
      </c>
      <c r="E7" s="16">
        <v>3.0</v>
      </c>
      <c r="F7" s="11">
        <v>3.0</v>
      </c>
      <c r="G7" s="12">
        <f t="shared" si="1"/>
        <v>0</v>
      </c>
      <c r="H7" s="13">
        <v>45887.0</v>
      </c>
      <c r="I7" s="14" t="s">
        <v>14</v>
      </c>
      <c r="J7" s="13">
        <v>45921.0</v>
      </c>
      <c r="K7" s="7" t="s">
        <v>283</v>
      </c>
      <c r="L7" s="17"/>
    </row>
    <row r="8">
      <c r="A8" s="7">
        <v>6.0</v>
      </c>
      <c r="B8" s="19" t="s">
        <v>20</v>
      </c>
      <c r="C8" s="20" t="s">
        <v>21</v>
      </c>
      <c r="D8" s="10">
        <v>2.7584823E7</v>
      </c>
      <c r="E8" s="16">
        <v>2.0</v>
      </c>
      <c r="F8" s="11">
        <v>2.0</v>
      </c>
      <c r="G8" s="12">
        <f t="shared" si="1"/>
        <v>0</v>
      </c>
      <c r="H8" s="13">
        <v>45887.0</v>
      </c>
      <c r="I8" s="14" t="s">
        <v>14</v>
      </c>
      <c r="J8" s="13">
        <v>45904.0</v>
      </c>
      <c r="K8" s="7" t="s">
        <v>283</v>
      </c>
      <c r="L8" s="17"/>
    </row>
    <row r="9">
      <c r="A9" s="7">
        <v>7.0</v>
      </c>
      <c r="B9" s="19">
        <v>9.08202098E8</v>
      </c>
      <c r="C9" s="20" t="s">
        <v>22</v>
      </c>
      <c r="D9" s="10">
        <v>2.7584823E7</v>
      </c>
      <c r="E9" s="16">
        <v>2.0</v>
      </c>
      <c r="F9" s="11">
        <v>2.0</v>
      </c>
      <c r="G9" s="12">
        <f t="shared" si="1"/>
        <v>0</v>
      </c>
      <c r="H9" s="13">
        <v>45887.0</v>
      </c>
      <c r="I9" s="14" t="s">
        <v>14</v>
      </c>
      <c r="J9" s="13">
        <v>45904.0</v>
      </c>
      <c r="K9" s="7" t="s">
        <v>283</v>
      </c>
      <c r="L9" s="17"/>
    </row>
    <row r="10">
      <c r="A10" s="7">
        <v>8.0</v>
      </c>
      <c r="B10" s="8">
        <v>9.08111101E8</v>
      </c>
      <c r="C10" s="9" t="s">
        <v>24</v>
      </c>
      <c r="D10" s="10">
        <v>2.7584823E7</v>
      </c>
      <c r="E10" s="16">
        <v>6.0</v>
      </c>
      <c r="F10" s="11">
        <v>6.0</v>
      </c>
      <c r="G10" s="12">
        <f t="shared" si="1"/>
        <v>0</v>
      </c>
      <c r="H10" s="13">
        <v>45887.0</v>
      </c>
      <c r="I10" s="14" t="s">
        <v>14</v>
      </c>
      <c r="J10" s="13">
        <v>45904.0</v>
      </c>
      <c r="K10" s="7" t="s">
        <v>283</v>
      </c>
      <c r="L10" s="17"/>
    </row>
    <row r="11">
      <c r="A11" s="7">
        <v>9.0</v>
      </c>
      <c r="B11" s="8">
        <v>9.0820203E8</v>
      </c>
      <c r="C11" s="9" t="s">
        <v>19</v>
      </c>
      <c r="D11" s="10">
        <v>2.7584823E7</v>
      </c>
      <c r="E11" s="16">
        <v>2.0</v>
      </c>
      <c r="F11" s="11">
        <v>2.0</v>
      </c>
      <c r="G11" s="12">
        <f t="shared" si="1"/>
        <v>0</v>
      </c>
      <c r="H11" s="13">
        <v>45887.0</v>
      </c>
      <c r="I11" s="14" t="s">
        <v>14</v>
      </c>
      <c r="J11" s="13">
        <v>45904.0</v>
      </c>
      <c r="K11" s="7" t="s">
        <v>283</v>
      </c>
      <c r="L11" s="17"/>
    </row>
    <row r="12">
      <c r="A12" s="7">
        <v>10.0</v>
      </c>
      <c r="B12" s="8">
        <v>9.0812201E8</v>
      </c>
      <c r="C12" s="9" t="s">
        <v>80</v>
      </c>
      <c r="D12" s="10">
        <v>2.7584823E7</v>
      </c>
      <c r="E12" s="16">
        <v>8.0</v>
      </c>
      <c r="F12" s="11"/>
      <c r="G12" s="12">
        <f t="shared" si="1"/>
        <v>8</v>
      </c>
      <c r="H12" s="13">
        <v>45887.0</v>
      </c>
      <c r="I12" s="14" t="s">
        <v>14</v>
      </c>
      <c r="J12" s="13"/>
      <c r="K12" s="7"/>
      <c r="L12" s="17"/>
    </row>
    <row r="13">
      <c r="A13" s="7">
        <v>11.0</v>
      </c>
      <c r="B13" s="8" t="s">
        <v>25</v>
      </c>
      <c r="C13" s="9" t="s">
        <v>26</v>
      </c>
      <c r="D13" s="10">
        <v>2.7584823E7</v>
      </c>
      <c r="E13" s="16"/>
      <c r="F13" s="11">
        <v>127.0</v>
      </c>
      <c r="G13" s="12">
        <f t="shared" si="1"/>
        <v>-127</v>
      </c>
      <c r="H13" s="13"/>
      <c r="I13" s="14"/>
      <c r="J13" s="13">
        <v>45904.0</v>
      </c>
      <c r="K13" s="7" t="s">
        <v>283</v>
      </c>
      <c r="L13" s="17"/>
    </row>
    <row r="14">
      <c r="A14" s="7">
        <v>12.0</v>
      </c>
      <c r="B14" s="8" t="s">
        <v>27</v>
      </c>
      <c r="C14" s="9" t="s">
        <v>28</v>
      </c>
      <c r="D14" s="10">
        <v>2.7584823E7</v>
      </c>
      <c r="E14" s="16"/>
      <c r="F14" s="11">
        <v>84.0</v>
      </c>
      <c r="G14" s="12">
        <f t="shared" si="1"/>
        <v>-84</v>
      </c>
      <c r="H14" s="13"/>
      <c r="I14" s="14"/>
      <c r="J14" s="13">
        <v>45904.0</v>
      </c>
      <c r="K14" s="7" t="s">
        <v>283</v>
      </c>
      <c r="L14" s="17"/>
    </row>
    <row r="15">
      <c r="A15" s="7">
        <v>13.0</v>
      </c>
      <c r="B15" s="8">
        <v>9.08402208E8</v>
      </c>
      <c r="C15" s="9" t="s">
        <v>111</v>
      </c>
      <c r="D15" s="10">
        <v>2.7868589E7</v>
      </c>
      <c r="E15" s="16">
        <v>4.0</v>
      </c>
      <c r="F15" s="11">
        <v>4.0</v>
      </c>
      <c r="G15" s="12">
        <f t="shared" si="1"/>
        <v>0</v>
      </c>
      <c r="H15" s="13">
        <v>45942.0</v>
      </c>
      <c r="I15" s="14" t="s">
        <v>14</v>
      </c>
      <c r="J15" s="13">
        <v>45942.0</v>
      </c>
      <c r="K15" s="7" t="s">
        <v>16</v>
      </c>
      <c r="L15" s="17"/>
    </row>
    <row r="16">
      <c r="A16" s="7">
        <v>14.0</v>
      </c>
      <c r="B16" s="8">
        <v>9.08111101E8</v>
      </c>
      <c r="C16" s="9" t="s">
        <v>24</v>
      </c>
      <c r="D16" s="10"/>
      <c r="E16" s="16"/>
      <c r="F16" s="11">
        <v>4.0</v>
      </c>
      <c r="G16" s="12">
        <f t="shared" si="1"/>
        <v>-4</v>
      </c>
      <c r="H16" s="13"/>
      <c r="I16" s="14"/>
      <c r="J16" s="13">
        <v>45942.0</v>
      </c>
      <c r="K16" s="7" t="s">
        <v>16</v>
      </c>
      <c r="L16" s="17"/>
    </row>
    <row r="17">
      <c r="A17" s="7">
        <v>15.0</v>
      </c>
      <c r="B17" s="8" t="s">
        <v>20</v>
      </c>
      <c r="C17" s="9" t="s">
        <v>21</v>
      </c>
      <c r="D17" s="10">
        <v>2.7868589E7</v>
      </c>
      <c r="E17" s="16">
        <v>1.0</v>
      </c>
      <c r="F17" s="11">
        <v>2.0</v>
      </c>
      <c r="G17" s="12">
        <f t="shared" si="1"/>
        <v>-1</v>
      </c>
      <c r="H17" s="13">
        <v>45942.0</v>
      </c>
      <c r="I17" s="14" t="s">
        <v>14</v>
      </c>
      <c r="J17" s="13">
        <v>45942.0</v>
      </c>
      <c r="K17" s="7" t="s">
        <v>16</v>
      </c>
      <c r="L17" s="17"/>
    </row>
    <row r="18">
      <c r="A18" s="7">
        <v>16.0</v>
      </c>
      <c r="B18" s="8">
        <v>9.0820203E8</v>
      </c>
      <c r="C18" s="9" t="s">
        <v>19</v>
      </c>
      <c r="D18" s="10">
        <v>2.7868589E7</v>
      </c>
      <c r="E18" s="16">
        <v>5.0</v>
      </c>
      <c r="F18" s="11"/>
      <c r="G18" s="12">
        <f t="shared" si="1"/>
        <v>5</v>
      </c>
      <c r="H18" s="13">
        <v>45942.0</v>
      </c>
      <c r="I18" s="14" t="s">
        <v>14</v>
      </c>
      <c r="J18" s="13"/>
      <c r="K18" s="7"/>
      <c r="L18" s="17"/>
    </row>
    <row r="19">
      <c r="A19" s="7">
        <v>17.0</v>
      </c>
      <c r="B19" s="8">
        <v>9.08122003E8</v>
      </c>
      <c r="C19" s="9" t="s">
        <v>368</v>
      </c>
      <c r="D19" s="10">
        <v>2.7868589E7</v>
      </c>
      <c r="E19" s="16">
        <v>16.0</v>
      </c>
      <c r="F19" s="11"/>
      <c r="G19" s="12">
        <f t="shared" si="1"/>
        <v>16</v>
      </c>
      <c r="H19" s="13">
        <v>45942.0</v>
      </c>
      <c r="I19" s="14" t="s">
        <v>14</v>
      </c>
      <c r="J19" s="13"/>
      <c r="K19" s="7"/>
      <c r="L19" s="17"/>
    </row>
    <row r="20">
      <c r="A20" s="7">
        <v>18.0</v>
      </c>
      <c r="B20" s="8">
        <v>9.08421031E8</v>
      </c>
      <c r="C20" s="9" t="s">
        <v>122</v>
      </c>
      <c r="D20" s="10">
        <v>2.7868589E7</v>
      </c>
      <c r="E20" s="16">
        <v>2.0</v>
      </c>
      <c r="F20" s="11">
        <v>2.0</v>
      </c>
      <c r="G20" s="12">
        <f t="shared" si="1"/>
        <v>0</v>
      </c>
      <c r="H20" s="13">
        <v>45942.0</v>
      </c>
      <c r="I20" s="14" t="s">
        <v>14</v>
      </c>
      <c r="J20" s="13">
        <v>45942.0</v>
      </c>
      <c r="K20" s="7" t="s">
        <v>16</v>
      </c>
      <c r="L20" s="17"/>
    </row>
    <row r="21" ht="15.75" customHeight="1">
      <c r="A21" s="7">
        <v>19.0</v>
      </c>
      <c r="B21" s="8">
        <v>9.08371012E8</v>
      </c>
      <c r="C21" s="9" t="s">
        <v>150</v>
      </c>
      <c r="D21" s="10">
        <v>2.7868589E7</v>
      </c>
      <c r="E21" s="16">
        <v>4.0</v>
      </c>
      <c r="F21" s="11">
        <v>4.0</v>
      </c>
      <c r="G21" s="12">
        <f t="shared" si="1"/>
        <v>0</v>
      </c>
      <c r="H21" s="13">
        <v>45942.0</v>
      </c>
      <c r="I21" s="14" t="s">
        <v>14</v>
      </c>
      <c r="J21" s="13">
        <v>45942.0</v>
      </c>
      <c r="K21" s="7" t="s">
        <v>16</v>
      </c>
      <c r="L21" s="17"/>
    </row>
    <row r="22" ht="15.75" customHeight="1">
      <c r="A22" s="7">
        <v>20.0</v>
      </c>
      <c r="B22" s="8">
        <v>9.08202189E8</v>
      </c>
      <c r="C22" s="9" t="s">
        <v>55</v>
      </c>
      <c r="D22" s="10">
        <v>2.7868589E7</v>
      </c>
      <c r="E22" s="16">
        <v>1.0</v>
      </c>
      <c r="F22" s="11">
        <v>2.0</v>
      </c>
      <c r="G22" s="12">
        <f t="shared" si="1"/>
        <v>-1</v>
      </c>
      <c r="H22" s="13">
        <v>45957.0</v>
      </c>
      <c r="I22" s="14" t="s">
        <v>14</v>
      </c>
      <c r="J22" s="13">
        <v>45942.0</v>
      </c>
      <c r="K22" s="7" t="s">
        <v>16</v>
      </c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2.7584318E7</v>
      </c>
      <c r="E3" s="16">
        <v>2.0</v>
      </c>
      <c r="F3" s="11">
        <v>2.0</v>
      </c>
      <c r="G3" s="12">
        <f t="shared" ref="G3:G21" si="1">E3-F3</f>
        <v>0</v>
      </c>
      <c r="H3" s="13">
        <v>45887.0</v>
      </c>
      <c r="I3" s="14" t="s">
        <v>14</v>
      </c>
      <c r="J3" s="13">
        <v>45905.0</v>
      </c>
      <c r="K3" s="7" t="s">
        <v>283</v>
      </c>
      <c r="L3" s="17"/>
    </row>
    <row r="4">
      <c r="A4" s="7">
        <v>2.0</v>
      </c>
      <c r="B4" s="8">
        <v>9.0812101E8</v>
      </c>
      <c r="C4" s="9" t="s">
        <v>18</v>
      </c>
      <c r="D4" s="10">
        <v>2.7584318E7</v>
      </c>
      <c r="E4" s="16">
        <v>2.0</v>
      </c>
      <c r="F4" s="11">
        <v>1.0</v>
      </c>
      <c r="G4" s="12">
        <f t="shared" si="1"/>
        <v>1</v>
      </c>
      <c r="H4" s="13">
        <v>45887.0</v>
      </c>
      <c r="I4" s="14" t="s">
        <v>14</v>
      </c>
      <c r="J4" s="13">
        <v>45905.0</v>
      </c>
      <c r="K4" s="7" t="s">
        <v>283</v>
      </c>
      <c r="L4" s="17"/>
    </row>
    <row r="5">
      <c r="A5" s="7">
        <v>3.0</v>
      </c>
      <c r="B5" s="8">
        <v>9.08020201E8</v>
      </c>
      <c r="C5" s="9" t="s">
        <v>13</v>
      </c>
      <c r="D5" s="10">
        <v>2.7584318E7</v>
      </c>
      <c r="E5" s="16">
        <v>1.0</v>
      </c>
      <c r="F5" s="11"/>
      <c r="G5" s="12">
        <f t="shared" si="1"/>
        <v>1</v>
      </c>
      <c r="H5" s="13">
        <v>45887.0</v>
      </c>
      <c r="I5" s="14" t="s">
        <v>14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2.7584318E7</v>
      </c>
      <c r="E6" s="16">
        <v>1.0</v>
      </c>
      <c r="F6" s="11">
        <v>1.0</v>
      </c>
      <c r="G6" s="12">
        <f t="shared" si="1"/>
        <v>0</v>
      </c>
      <c r="H6" s="13">
        <v>45887.0</v>
      </c>
      <c r="I6" s="14" t="s">
        <v>14</v>
      </c>
      <c r="J6" s="13">
        <v>45905.0</v>
      </c>
      <c r="K6" s="7" t="s">
        <v>283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2.7584318E7</v>
      </c>
      <c r="E7" s="16">
        <v>3.0</v>
      </c>
      <c r="F7" s="11">
        <v>3.0</v>
      </c>
      <c r="G7" s="12">
        <f t="shared" si="1"/>
        <v>0</v>
      </c>
      <c r="H7" s="13">
        <v>45887.0</v>
      </c>
      <c r="I7" s="14" t="s">
        <v>14</v>
      </c>
      <c r="J7" s="13">
        <v>45909.0</v>
      </c>
      <c r="K7" s="7" t="s">
        <v>283</v>
      </c>
      <c r="L7" s="17"/>
    </row>
    <row r="8">
      <c r="A8" s="7">
        <v>6.0</v>
      </c>
      <c r="B8" s="19" t="s">
        <v>20</v>
      </c>
      <c r="C8" s="20" t="s">
        <v>21</v>
      </c>
      <c r="D8" s="10">
        <v>2.7584318E7</v>
      </c>
      <c r="E8" s="16">
        <v>2.0</v>
      </c>
      <c r="F8" s="11">
        <v>2.0</v>
      </c>
      <c r="G8" s="12">
        <f t="shared" si="1"/>
        <v>0</v>
      </c>
      <c r="H8" s="13">
        <v>45887.0</v>
      </c>
      <c r="I8" s="14" t="s">
        <v>14</v>
      </c>
      <c r="J8" s="13">
        <v>45905.0</v>
      </c>
      <c r="K8" s="7" t="s">
        <v>283</v>
      </c>
      <c r="L8" s="17"/>
    </row>
    <row r="9">
      <c r="A9" s="7">
        <v>7.0</v>
      </c>
      <c r="B9" s="19">
        <v>9.08202098E8</v>
      </c>
      <c r="C9" s="20" t="s">
        <v>22</v>
      </c>
      <c r="D9" s="10">
        <v>2.7584318E7</v>
      </c>
      <c r="E9" s="16">
        <v>2.0</v>
      </c>
      <c r="F9" s="11">
        <v>2.0</v>
      </c>
      <c r="G9" s="12">
        <f t="shared" si="1"/>
        <v>0</v>
      </c>
      <c r="H9" s="13">
        <v>45887.0</v>
      </c>
      <c r="I9" s="14" t="s">
        <v>14</v>
      </c>
      <c r="J9" s="13">
        <v>45905.0</v>
      </c>
      <c r="K9" s="7" t="s">
        <v>283</v>
      </c>
      <c r="L9" s="17"/>
    </row>
    <row r="10">
      <c r="A10" s="7">
        <v>8.0</v>
      </c>
      <c r="B10" s="8">
        <v>9.08111101E8</v>
      </c>
      <c r="C10" s="9" t="s">
        <v>24</v>
      </c>
      <c r="D10" s="10">
        <v>2.7584318E7</v>
      </c>
      <c r="E10" s="16">
        <v>6.0</v>
      </c>
      <c r="F10" s="11">
        <v>6.0</v>
      </c>
      <c r="G10" s="12">
        <f t="shared" si="1"/>
        <v>0</v>
      </c>
      <c r="H10" s="13">
        <v>45887.0</v>
      </c>
      <c r="I10" s="14" t="s">
        <v>14</v>
      </c>
      <c r="J10" s="13">
        <v>45905.0</v>
      </c>
      <c r="K10" s="7" t="s">
        <v>283</v>
      </c>
      <c r="L10" s="17"/>
    </row>
    <row r="11">
      <c r="A11" s="7">
        <v>9.0</v>
      </c>
      <c r="B11" s="8">
        <v>9.0820203E8</v>
      </c>
      <c r="C11" s="9" t="s">
        <v>19</v>
      </c>
      <c r="D11" s="10">
        <v>2.7584318E7</v>
      </c>
      <c r="E11" s="16">
        <v>2.0</v>
      </c>
      <c r="F11" s="11">
        <v>2.0</v>
      </c>
      <c r="G11" s="12">
        <f t="shared" si="1"/>
        <v>0</v>
      </c>
      <c r="H11" s="13">
        <v>45887.0</v>
      </c>
      <c r="I11" s="14" t="s">
        <v>14</v>
      </c>
      <c r="J11" s="13">
        <v>45905.0</v>
      </c>
      <c r="K11" s="7" t="s">
        <v>283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2.7584318E7</v>
      </c>
      <c r="E12" s="16">
        <v>38.0</v>
      </c>
      <c r="F12" s="11">
        <v>38.0</v>
      </c>
      <c r="G12" s="12">
        <f t="shared" si="1"/>
        <v>0</v>
      </c>
      <c r="H12" s="13"/>
      <c r="I12" s="14"/>
      <c r="J12" s="13">
        <v>45902.0</v>
      </c>
      <c r="K12" s="7" t="s">
        <v>283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2.7584318E7</v>
      </c>
      <c r="E13" s="16">
        <v>60.0</v>
      </c>
      <c r="F13" s="11">
        <v>62.0</v>
      </c>
      <c r="G13" s="12">
        <f t="shared" si="1"/>
        <v>-2</v>
      </c>
      <c r="H13" s="13"/>
      <c r="I13" s="14"/>
      <c r="J13" s="13">
        <v>45902.0</v>
      </c>
      <c r="K13" s="7" t="s">
        <v>283</v>
      </c>
      <c r="L13" s="17"/>
    </row>
    <row r="14">
      <c r="A14" s="7">
        <v>12.0</v>
      </c>
      <c r="B14" s="82">
        <v>9.0820203E8</v>
      </c>
      <c r="C14" s="83" t="s">
        <v>19</v>
      </c>
      <c r="D14" s="83">
        <v>2.8034037E7</v>
      </c>
      <c r="E14" s="16">
        <v>2.0</v>
      </c>
      <c r="F14" s="11">
        <v>2.0</v>
      </c>
      <c r="G14" s="12">
        <f t="shared" si="1"/>
        <v>0</v>
      </c>
      <c r="H14" s="13">
        <v>45967.0</v>
      </c>
      <c r="I14" s="14" t="s">
        <v>14</v>
      </c>
      <c r="J14" s="13">
        <v>45970.0</v>
      </c>
      <c r="K14" s="7" t="s">
        <v>294</v>
      </c>
      <c r="L14" s="17"/>
    </row>
    <row r="15">
      <c r="A15" s="7">
        <v>13.0</v>
      </c>
      <c r="B15" s="82" t="s">
        <v>20</v>
      </c>
      <c r="C15" s="83" t="s">
        <v>21</v>
      </c>
      <c r="D15" s="83">
        <v>2.8034037E7</v>
      </c>
      <c r="E15" s="16">
        <v>2.0</v>
      </c>
      <c r="F15" s="11">
        <v>2.0</v>
      </c>
      <c r="G15" s="12">
        <f t="shared" si="1"/>
        <v>0</v>
      </c>
      <c r="H15" s="13">
        <v>45967.0</v>
      </c>
      <c r="I15" s="14" t="s">
        <v>14</v>
      </c>
      <c r="J15" s="13">
        <v>45970.0</v>
      </c>
      <c r="K15" s="7" t="s">
        <v>294</v>
      </c>
      <c r="L15" s="17"/>
    </row>
    <row r="16">
      <c r="A16" s="7">
        <v>14.0</v>
      </c>
      <c r="B16" s="8">
        <v>9.08371014E8</v>
      </c>
      <c r="C16" s="9" t="s">
        <v>113</v>
      </c>
      <c r="D16" s="83">
        <v>2.8034037E7</v>
      </c>
      <c r="E16" s="16">
        <v>4.0</v>
      </c>
      <c r="F16" s="11">
        <v>4.0</v>
      </c>
      <c r="G16" s="12">
        <f t="shared" si="1"/>
        <v>0</v>
      </c>
      <c r="H16" s="13">
        <v>45967.0</v>
      </c>
      <c r="I16" s="14" t="s">
        <v>14</v>
      </c>
      <c r="J16" s="13">
        <v>45970.0</v>
      </c>
      <c r="K16" s="7" t="s">
        <v>294</v>
      </c>
      <c r="L16" s="17"/>
    </row>
    <row r="17">
      <c r="A17" s="7">
        <v>15.0</v>
      </c>
      <c r="B17" s="83">
        <v>9.08402208E8</v>
      </c>
      <c r="C17" s="83" t="s">
        <v>370</v>
      </c>
      <c r="D17" s="83">
        <v>2.8034037E7</v>
      </c>
      <c r="E17" s="16">
        <v>4.0</v>
      </c>
      <c r="F17" s="11">
        <v>4.0</v>
      </c>
      <c r="G17" s="12">
        <f t="shared" si="1"/>
        <v>0</v>
      </c>
      <c r="H17" s="13">
        <v>45967.0</v>
      </c>
      <c r="I17" s="14" t="s">
        <v>14</v>
      </c>
      <c r="J17" s="13">
        <v>45970.0</v>
      </c>
      <c r="K17" s="7" t="s">
        <v>294</v>
      </c>
      <c r="L17" s="17"/>
    </row>
    <row r="18">
      <c r="A18" s="7">
        <v>16.0</v>
      </c>
      <c r="B18" s="83">
        <v>9.08421031E8</v>
      </c>
      <c r="C18" s="83" t="s">
        <v>122</v>
      </c>
      <c r="D18" s="83">
        <v>2.8034037E7</v>
      </c>
      <c r="E18" s="16">
        <v>2.0</v>
      </c>
      <c r="F18" s="11">
        <v>2.0</v>
      </c>
      <c r="G18" s="12">
        <f t="shared" si="1"/>
        <v>0</v>
      </c>
      <c r="H18" s="13">
        <v>45967.0</v>
      </c>
      <c r="I18" s="14" t="s">
        <v>14</v>
      </c>
      <c r="J18" s="13">
        <v>45970.0</v>
      </c>
      <c r="K18" s="7" t="s">
        <v>294</v>
      </c>
      <c r="L18" s="17"/>
    </row>
    <row r="19">
      <c r="A19" s="7">
        <v>17.0</v>
      </c>
      <c r="B19" s="83">
        <v>9.08111101E8</v>
      </c>
      <c r="C19" s="83" t="s">
        <v>24</v>
      </c>
      <c r="D19" s="83">
        <v>2.8034037E7</v>
      </c>
      <c r="E19" s="16">
        <v>4.0</v>
      </c>
      <c r="F19" s="11">
        <v>4.0</v>
      </c>
      <c r="G19" s="12">
        <f t="shared" si="1"/>
        <v>0</v>
      </c>
      <c r="H19" s="13">
        <v>45967.0</v>
      </c>
      <c r="I19" s="14" t="s">
        <v>14</v>
      </c>
      <c r="J19" s="13">
        <v>45970.0</v>
      </c>
      <c r="K19" s="7" t="s">
        <v>294</v>
      </c>
      <c r="L19" s="17"/>
    </row>
    <row r="20">
      <c r="A20" s="7">
        <v>18.0</v>
      </c>
      <c r="B20" s="83">
        <v>9.08020201E8</v>
      </c>
      <c r="C20" s="83" t="s">
        <v>13</v>
      </c>
      <c r="D20" s="83">
        <v>2.8034037E7</v>
      </c>
      <c r="E20" s="16">
        <v>2.0</v>
      </c>
      <c r="F20" s="11"/>
      <c r="G20" s="12">
        <f t="shared" si="1"/>
        <v>2</v>
      </c>
      <c r="H20" s="13">
        <v>45967.0</v>
      </c>
      <c r="I20" s="14" t="s">
        <v>14</v>
      </c>
      <c r="J20" s="13"/>
      <c r="K20" s="7"/>
      <c r="L20" s="17"/>
    </row>
    <row r="21" ht="15.75" customHeight="1">
      <c r="A21" s="7">
        <v>19.0</v>
      </c>
      <c r="B21" s="83">
        <v>9.08202189E8</v>
      </c>
      <c r="C21" s="83" t="s">
        <v>55</v>
      </c>
      <c r="D21" s="83">
        <v>2.8034037E7</v>
      </c>
      <c r="E21" s="16">
        <v>2.0</v>
      </c>
      <c r="F21" s="11">
        <v>2.0</v>
      </c>
      <c r="G21" s="12">
        <f t="shared" si="1"/>
        <v>0</v>
      </c>
      <c r="H21" s="13">
        <v>45967.0</v>
      </c>
      <c r="I21" s="14" t="s">
        <v>14</v>
      </c>
      <c r="J21" s="13">
        <v>45970.0</v>
      </c>
      <c r="K21" s="7" t="s">
        <v>294</v>
      </c>
      <c r="L21" s="17"/>
    </row>
    <row r="22" ht="15.75" customHeight="1">
      <c r="A22" s="7"/>
      <c r="B22" s="8"/>
      <c r="C22" s="9"/>
      <c r="D22" s="10"/>
      <c r="E22" s="16"/>
      <c r="F22" s="11"/>
      <c r="G22" s="12"/>
      <c r="H22" s="13"/>
      <c r="I22" s="14"/>
      <c r="J22" s="13"/>
      <c r="K22" s="7"/>
      <c r="L22" s="17"/>
    </row>
    <row r="23" ht="15.75" customHeight="1">
      <c r="A23" s="7"/>
      <c r="B23" s="8"/>
      <c r="C23" s="9"/>
      <c r="D23" s="10"/>
      <c r="E23" s="16"/>
      <c r="F23" s="11"/>
      <c r="G23" s="12"/>
      <c r="H23" s="13"/>
      <c r="I23" s="14"/>
      <c r="J23" s="13"/>
      <c r="K23" s="7"/>
      <c r="L23" s="1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9.08371003E8</v>
      </c>
      <c r="C3" s="20" t="s">
        <v>81</v>
      </c>
      <c r="D3" s="10">
        <v>2.7558295E7</v>
      </c>
      <c r="E3" s="7">
        <v>1.0</v>
      </c>
      <c r="F3" s="11">
        <v>1.0</v>
      </c>
      <c r="G3" s="12">
        <f>E3-F3</f>
        <v>0</v>
      </c>
      <c r="H3" s="13">
        <v>45881.0</v>
      </c>
      <c r="I3" s="14" t="s">
        <v>14</v>
      </c>
      <c r="J3" s="13">
        <v>45889.0</v>
      </c>
      <c r="K3" s="7" t="s">
        <v>283</v>
      </c>
      <c r="L3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2.7547724E7</v>
      </c>
      <c r="E3" s="16">
        <v>2.0</v>
      </c>
      <c r="F3" s="11">
        <v>2.0</v>
      </c>
      <c r="G3" s="12">
        <f t="shared" ref="G3:G13" si="1">E3-F3</f>
        <v>0</v>
      </c>
      <c r="H3" s="13">
        <v>45880.0</v>
      </c>
      <c r="I3" s="14" t="s">
        <v>14</v>
      </c>
      <c r="J3" s="13">
        <v>45895.0</v>
      </c>
      <c r="K3" s="7" t="s">
        <v>283</v>
      </c>
      <c r="L3" s="17"/>
    </row>
    <row r="4">
      <c r="A4" s="7">
        <v>2.0</v>
      </c>
      <c r="B4" s="8">
        <v>9.0812101E8</v>
      </c>
      <c r="C4" s="9" t="s">
        <v>18</v>
      </c>
      <c r="D4" s="10">
        <v>2.7547724E7</v>
      </c>
      <c r="E4" s="16">
        <v>2.0</v>
      </c>
      <c r="F4" s="11">
        <f>1+1</f>
        <v>2</v>
      </c>
      <c r="G4" s="12">
        <f t="shared" si="1"/>
        <v>0</v>
      </c>
      <c r="H4" s="13">
        <v>45880.0</v>
      </c>
      <c r="I4" s="14" t="s">
        <v>14</v>
      </c>
      <c r="J4" s="13" t="s">
        <v>373</v>
      </c>
      <c r="K4" s="7" t="s">
        <v>283</v>
      </c>
      <c r="L4" s="17"/>
    </row>
    <row r="5">
      <c r="A5" s="7">
        <v>3.0</v>
      </c>
      <c r="B5" s="8">
        <v>9.08020201E8</v>
      </c>
      <c r="C5" s="9" t="s">
        <v>13</v>
      </c>
      <c r="D5" s="10">
        <v>2.7547724E7</v>
      </c>
      <c r="E5" s="16">
        <v>1.0</v>
      </c>
      <c r="F5" s="11"/>
      <c r="G5" s="12">
        <f t="shared" si="1"/>
        <v>1</v>
      </c>
      <c r="H5" s="13">
        <v>45880.0</v>
      </c>
      <c r="I5" s="14" t="s">
        <v>14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2.7547724E7</v>
      </c>
      <c r="E6" s="16">
        <v>1.0</v>
      </c>
      <c r="F6" s="11">
        <v>1.0</v>
      </c>
      <c r="G6" s="12">
        <f t="shared" si="1"/>
        <v>0</v>
      </c>
      <c r="H6" s="13">
        <v>45880.0</v>
      </c>
      <c r="I6" s="14" t="s">
        <v>14</v>
      </c>
      <c r="J6" s="13">
        <v>45895.0</v>
      </c>
      <c r="K6" s="7" t="s">
        <v>283</v>
      </c>
      <c r="L6" s="17"/>
    </row>
    <row r="7">
      <c r="A7" s="7">
        <v>5.0</v>
      </c>
      <c r="B7" s="19">
        <v>9.08122011E8</v>
      </c>
      <c r="C7" s="20" t="s">
        <v>23</v>
      </c>
      <c r="D7" s="10">
        <v>2.7547724E7</v>
      </c>
      <c r="E7" s="16">
        <v>3.0</v>
      </c>
      <c r="F7" s="11">
        <v>3.0</v>
      </c>
      <c r="G7" s="12">
        <f t="shared" si="1"/>
        <v>0</v>
      </c>
      <c r="H7" s="13">
        <v>45880.0</v>
      </c>
      <c r="I7" s="14" t="s">
        <v>14</v>
      </c>
      <c r="J7" s="13">
        <v>45906.0</v>
      </c>
      <c r="K7" s="7" t="s">
        <v>283</v>
      </c>
      <c r="L7" s="17"/>
    </row>
    <row r="8">
      <c r="A8" s="7">
        <v>6.0</v>
      </c>
      <c r="B8" s="19" t="s">
        <v>20</v>
      </c>
      <c r="C8" s="20" t="s">
        <v>21</v>
      </c>
      <c r="D8" s="10">
        <v>2.7547724E7</v>
      </c>
      <c r="E8" s="16">
        <v>2.0</v>
      </c>
      <c r="F8" s="11">
        <v>2.0</v>
      </c>
      <c r="G8" s="12">
        <f t="shared" si="1"/>
        <v>0</v>
      </c>
      <c r="H8" s="13">
        <v>45880.0</v>
      </c>
      <c r="I8" s="14" t="s">
        <v>14</v>
      </c>
      <c r="J8" s="13">
        <v>45895.0</v>
      </c>
      <c r="K8" s="7" t="s">
        <v>283</v>
      </c>
      <c r="L8" s="17"/>
    </row>
    <row r="9">
      <c r="A9" s="7">
        <v>7.0</v>
      </c>
      <c r="B9" s="19">
        <v>9.08202098E8</v>
      </c>
      <c r="C9" s="20" t="s">
        <v>22</v>
      </c>
      <c r="D9" s="10">
        <v>2.7547724E7</v>
      </c>
      <c r="E9" s="16">
        <v>2.0</v>
      </c>
      <c r="F9" s="11">
        <v>2.0</v>
      </c>
      <c r="G9" s="12">
        <f t="shared" si="1"/>
        <v>0</v>
      </c>
      <c r="H9" s="13">
        <v>45880.0</v>
      </c>
      <c r="I9" s="14" t="s">
        <v>14</v>
      </c>
      <c r="J9" s="13">
        <v>45895.0</v>
      </c>
      <c r="K9" s="7" t="s">
        <v>283</v>
      </c>
      <c r="L9" s="17"/>
    </row>
    <row r="10">
      <c r="A10" s="7">
        <v>8.0</v>
      </c>
      <c r="B10" s="8">
        <v>9.08111101E8</v>
      </c>
      <c r="C10" s="9" t="s">
        <v>24</v>
      </c>
      <c r="D10" s="10">
        <v>2.7547724E7</v>
      </c>
      <c r="E10" s="16">
        <v>6.0</v>
      </c>
      <c r="F10" s="11">
        <v>6.0</v>
      </c>
      <c r="G10" s="12">
        <f t="shared" si="1"/>
        <v>0</v>
      </c>
      <c r="H10" s="13">
        <v>45880.0</v>
      </c>
      <c r="I10" s="14" t="s">
        <v>14</v>
      </c>
      <c r="J10" s="13">
        <v>45895.0</v>
      </c>
      <c r="K10" s="7" t="s">
        <v>283</v>
      </c>
      <c r="L10" s="17"/>
    </row>
    <row r="11">
      <c r="A11" s="7">
        <v>9.0</v>
      </c>
      <c r="B11" s="8">
        <v>9.0820203E8</v>
      </c>
      <c r="C11" s="9" t="s">
        <v>19</v>
      </c>
      <c r="D11" s="10">
        <v>2.7547724E7</v>
      </c>
      <c r="E11" s="16">
        <v>2.0</v>
      </c>
      <c r="F11" s="11">
        <v>2.0</v>
      </c>
      <c r="G11" s="12">
        <f t="shared" si="1"/>
        <v>0</v>
      </c>
      <c r="H11" s="13">
        <v>45880.0</v>
      </c>
      <c r="I11" s="14" t="s">
        <v>14</v>
      </c>
      <c r="J11" s="13">
        <v>45895.0</v>
      </c>
      <c r="K11" s="7" t="s">
        <v>283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2.7547724E7</v>
      </c>
      <c r="E12" s="16">
        <v>35.0</v>
      </c>
      <c r="F12" s="11">
        <v>37.0</v>
      </c>
      <c r="G12" s="12">
        <f t="shared" si="1"/>
        <v>-2</v>
      </c>
      <c r="H12" s="13">
        <v>45880.0</v>
      </c>
      <c r="I12" s="14" t="s">
        <v>14</v>
      </c>
      <c r="J12" s="13">
        <v>45895.0</v>
      </c>
      <c r="K12" s="7" t="s">
        <v>283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2.7547724E7</v>
      </c>
      <c r="E13" s="16">
        <v>81.0</v>
      </c>
      <c r="F13" s="11">
        <v>81.0</v>
      </c>
      <c r="G13" s="12">
        <f t="shared" si="1"/>
        <v>0</v>
      </c>
      <c r="H13" s="13">
        <v>45880.0</v>
      </c>
      <c r="I13" s="14" t="s">
        <v>14</v>
      </c>
      <c r="J13" s="13">
        <v>45895.0</v>
      </c>
      <c r="K13" s="7" t="s">
        <v>283</v>
      </c>
      <c r="L13" s="17"/>
    </row>
    <row r="14">
      <c r="A14" s="7"/>
      <c r="B14" s="8"/>
      <c r="C14" s="9"/>
      <c r="D14" s="10"/>
      <c r="E14" s="16"/>
      <c r="F14" s="11"/>
      <c r="G14" s="12"/>
      <c r="H14" s="13"/>
      <c r="I14" s="14"/>
      <c r="J14" s="13"/>
      <c r="K14" s="7"/>
      <c r="L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2.7547687E7</v>
      </c>
      <c r="E3" s="16">
        <v>2.0</v>
      </c>
      <c r="F3" s="11">
        <v>2.0</v>
      </c>
      <c r="G3" s="12">
        <f t="shared" ref="G3:G13" si="1">E3-F3</f>
        <v>0</v>
      </c>
      <c r="H3" s="13">
        <v>45880.0</v>
      </c>
      <c r="I3" s="14" t="s">
        <v>14</v>
      </c>
      <c r="J3" s="88">
        <v>45894.0</v>
      </c>
      <c r="K3" s="7" t="s">
        <v>283</v>
      </c>
      <c r="L3" s="17"/>
    </row>
    <row r="4">
      <c r="A4" s="7">
        <v>2.0</v>
      </c>
      <c r="B4" s="8">
        <v>9.0812101E8</v>
      </c>
      <c r="C4" s="9" t="s">
        <v>18</v>
      </c>
      <c r="D4" s="10">
        <v>2.7547687E7</v>
      </c>
      <c r="E4" s="16">
        <v>2.0</v>
      </c>
      <c r="F4" s="11">
        <f>1+1</f>
        <v>2</v>
      </c>
      <c r="G4" s="12">
        <f t="shared" si="1"/>
        <v>0</v>
      </c>
      <c r="H4" s="13">
        <v>45880.0</v>
      </c>
      <c r="I4" s="14" t="s">
        <v>14</v>
      </c>
      <c r="J4" s="13" t="s">
        <v>375</v>
      </c>
      <c r="K4" s="7" t="s">
        <v>283</v>
      </c>
      <c r="L4" s="17"/>
    </row>
    <row r="5">
      <c r="A5" s="7">
        <v>3.0</v>
      </c>
      <c r="B5" s="8">
        <v>9.08020201E8</v>
      </c>
      <c r="C5" s="9" t="s">
        <v>13</v>
      </c>
      <c r="D5" s="10">
        <v>2.7547687E7</v>
      </c>
      <c r="E5" s="16">
        <v>1.0</v>
      </c>
      <c r="F5" s="11"/>
      <c r="G5" s="12">
        <f t="shared" si="1"/>
        <v>1</v>
      </c>
      <c r="H5" s="13">
        <v>45880.0</v>
      </c>
      <c r="I5" s="14" t="s">
        <v>14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2.7547687E7</v>
      </c>
      <c r="E6" s="16">
        <v>1.0</v>
      </c>
      <c r="F6" s="11">
        <v>1.0</v>
      </c>
      <c r="G6" s="12">
        <f t="shared" si="1"/>
        <v>0</v>
      </c>
      <c r="H6" s="13">
        <v>45880.0</v>
      </c>
      <c r="I6" s="14" t="s">
        <v>14</v>
      </c>
      <c r="J6" s="88">
        <v>45894.0</v>
      </c>
      <c r="K6" s="7" t="s">
        <v>283</v>
      </c>
      <c r="L6" s="17"/>
    </row>
    <row r="7">
      <c r="A7" s="7">
        <v>6.0</v>
      </c>
      <c r="B7" s="19">
        <v>9.08122011E8</v>
      </c>
      <c r="C7" s="20" t="s">
        <v>23</v>
      </c>
      <c r="D7" s="10">
        <v>2.7547687E7</v>
      </c>
      <c r="E7" s="16">
        <v>3.0</v>
      </c>
      <c r="F7" s="11">
        <v>3.0</v>
      </c>
      <c r="G7" s="12">
        <f t="shared" si="1"/>
        <v>0</v>
      </c>
      <c r="H7" s="13">
        <v>45880.0</v>
      </c>
      <c r="I7" s="14" t="s">
        <v>14</v>
      </c>
      <c r="J7" s="13">
        <v>45902.0</v>
      </c>
      <c r="K7" s="7" t="s">
        <v>283</v>
      </c>
      <c r="L7" s="17"/>
    </row>
    <row r="8">
      <c r="A8" s="7">
        <v>7.0</v>
      </c>
      <c r="B8" s="19" t="s">
        <v>20</v>
      </c>
      <c r="C8" s="20" t="s">
        <v>21</v>
      </c>
      <c r="D8" s="10">
        <v>2.7547687E7</v>
      </c>
      <c r="E8" s="16">
        <v>2.0</v>
      </c>
      <c r="F8" s="11">
        <v>2.0</v>
      </c>
      <c r="G8" s="12">
        <f t="shared" si="1"/>
        <v>0</v>
      </c>
      <c r="H8" s="13">
        <v>45880.0</v>
      </c>
      <c r="I8" s="14" t="s">
        <v>14</v>
      </c>
      <c r="J8" s="88">
        <v>45894.0</v>
      </c>
      <c r="K8" s="7" t="s">
        <v>283</v>
      </c>
      <c r="L8" s="17"/>
    </row>
    <row r="9">
      <c r="A9" s="7">
        <v>8.0</v>
      </c>
      <c r="B9" s="19">
        <v>9.08202098E8</v>
      </c>
      <c r="C9" s="20" t="s">
        <v>22</v>
      </c>
      <c r="D9" s="10">
        <v>2.7547687E7</v>
      </c>
      <c r="E9" s="16">
        <v>2.0</v>
      </c>
      <c r="F9" s="11">
        <v>2.0</v>
      </c>
      <c r="G9" s="12">
        <f t="shared" si="1"/>
        <v>0</v>
      </c>
      <c r="H9" s="13">
        <v>45880.0</v>
      </c>
      <c r="I9" s="14" t="s">
        <v>14</v>
      </c>
      <c r="J9" s="88">
        <v>45894.0</v>
      </c>
      <c r="K9" s="7" t="s">
        <v>283</v>
      </c>
      <c r="L9" s="17"/>
    </row>
    <row r="10">
      <c r="A10" s="7">
        <v>11.0</v>
      </c>
      <c r="B10" s="8">
        <v>9.08111101E8</v>
      </c>
      <c r="C10" s="9" t="s">
        <v>24</v>
      </c>
      <c r="D10" s="10">
        <v>2.7547687E7</v>
      </c>
      <c r="E10" s="16">
        <v>6.0</v>
      </c>
      <c r="F10" s="11">
        <v>6.0</v>
      </c>
      <c r="G10" s="12">
        <f t="shared" si="1"/>
        <v>0</v>
      </c>
      <c r="H10" s="13">
        <v>45880.0</v>
      </c>
      <c r="I10" s="14" t="s">
        <v>14</v>
      </c>
      <c r="J10" s="88">
        <v>45894.0</v>
      </c>
      <c r="K10" s="7" t="s">
        <v>283</v>
      </c>
      <c r="L10" s="17"/>
    </row>
    <row r="11">
      <c r="A11" s="7">
        <v>12.0</v>
      </c>
      <c r="B11" s="8">
        <v>9.0820203E8</v>
      </c>
      <c r="C11" s="9" t="s">
        <v>19</v>
      </c>
      <c r="D11" s="10">
        <v>2.7547687E7</v>
      </c>
      <c r="E11" s="16">
        <v>2.0</v>
      </c>
      <c r="F11" s="11">
        <v>2.0</v>
      </c>
      <c r="G11" s="12">
        <f t="shared" si="1"/>
        <v>0</v>
      </c>
      <c r="H11" s="13">
        <v>45880.0</v>
      </c>
      <c r="I11" s="14" t="s">
        <v>14</v>
      </c>
      <c r="J11" s="88">
        <v>45894.0</v>
      </c>
      <c r="K11" s="7" t="s">
        <v>283</v>
      </c>
      <c r="L11" s="17"/>
    </row>
    <row r="12">
      <c r="A12" s="7">
        <v>13.0</v>
      </c>
      <c r="B12" s="8" t="s">
        <v>25</v>
      </c>
      <c r="C12" s="9" t="s">
        <v>26</v>
      </c>
      <c r="D12" s="10">
        <v>2.7547687E7</v>
      </c>
      <c r="E12" s="16">
        <v>33.0</v>
      </c>
      <c r="F12" s="11">
        <v>33.0</v>
      </c>
      <c r="G12" s="12">
        <f t="shared" si="1"/>
        <v>0</v>
      </c>
      <c r="H12" s="13">
        <v>45880.0</v>
      </c>
      <c r="I12" s="14" t="s">
        <v>14</v>
      </c>
      <c r="J12" s="13">
        <v>45894.0</v>
      </c>
      <c r="K12" s="7" t="s">
        <v>283</v>
      </c>
      <c r="L12" s="17"/>
    </row>
    <row r="13">
      <c r="A13" s="7">
        <v>14.0</v>
      </c>
      <c r="B13" s="8" t="s">
        <v>27</v>
      </c>
      <c r="C13" s="9" t="s">
        <v>28</v>
      </c>
      <c r="D13" s="10">
        <v>2.7547687E7</v>
      </c>
      <c r="E13" s="16">
        <v>68.0</v>
      </c>
      <c r="F13" s="11">
        <v>72.0</v>
      </c>
      <c r="G13" s="12">
        <f t="shared" si="1"/>
        <v>-4</v>
      </c>
      <c r="H13" s="13">
        <v>45880.0</v>
      </c>
      <c r="I13" s="14" t="s">
        <v>14</v>
      </c>
      <c r="J13" s="13">
        <v>45894.0</v>
      </c>
      <c r="K13" s="7" t="s">
        <v>283</v>
      </c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2.7525741E7</v>
      </c>
      <c r="E3" s="16">
        <v>1.0</v>
      </c>
      <c r="F3" s="11">
        <v>1.0</v>
      </c>
      <c r="G3" s="12">
        <f t="shared" ref="G3:G13" si="1">E3-F3</f>
        <v>0</v>
      </c>
      <c r="H3" s="13">
        <v>45875.0</v>
      </c>
      <c r="I3" s="14" t="s">
        <v>14</v>
      </c>
      <c r="J3" s="13">
        <v>45888.0</v>
      </c>
      <c r="K3" s="7" t="s">
        <v>283</v>
      </c>
      <c r="L3" s="17"/>
    </row>
    <row r="4">
      <c r="A4" s="7">
        <v>2.0</v>
      </c>
      <c r="B4" s="8">
        <v>9.0812201E8</v>
      </c>
      <c r="C4" s="20" t="s">
        <v>80</v>
      </c>
      <c r="D4" s="10">
        <v>2.7525741E7</v>
      </c>
      <c r="E4" s="16">
        <v>4.0</v>
      </c>
      <c r="F4" s="11">
        <v>4.0</v>
      </c>
      <c r="G4" s="12">
        <f t="shared" si="1"/>
        <v>0</v>
      </c>
      <c r="H4" s="13">
        <v>45875.0</v>
      </c>
      <c r="I4" s="14" t="s">
        <v>14</v>
      </c>
      <c r="J4" s="13">
        <v>45888.0</v>
      </c>
      <c r="K4" s="7" t="s">
        <v>283</v>
      </c>
      <c r="L4" s="17"/>
    </row>
    <row r="5">
      <c r="A5" s="7">
        <v>3.0</v>
      </c>
      <c r="B5" s="8" t="s">
        <v>25</v>
      </c>
      <c r="C5" s="9" t="s">
        <v>26</v>
      </c>
      <c r="D5" s="10">
        <v>2.7525741E7</v>
      </c>
      <c r="E5" s="16">
        <v>19.0</v>
      </c>
      <c r="F5" s="11">
        <v>19.0</v>
      </c>
      <c r="G5" s="12">
        <f t="shared" si="1"/>
        <v>0</v>
      </c>
      <c r="H5" s="13">
        <v>45876.0</v>
      </c>
      <c r="I5" s="14" t="s">
        <v>14</v>
      </c>
      <c r="J5" s="13">
        <v>45888.0</v>
      </c>
      <c r="K5" s="7" t="s">
        <v>283</v>
      </c>
      <c r="L5" s="17"/>
    </row>
    <row r="6">
      <c r="A6" s="7">
        <v>4.0</v>
      </c>
      <c r="B6" s="8">
        <v>9.08020201E8</v>
      </c>
      <c r="C6" s="9" t="s">
        <v>13</v>
      </c>
      <c r="D6" s="10">
        <v>2.7674942E7</v>
      </c>
      <c r="E6" s="16">
        <v>1.0</v>
      </c>
      <c r="F6" s="11"/>
      <c r="G6" s="12">
        <f t="shared" si="1"/>
        <v>1</v>
      </c>
      <c r="H6" s="13">
        <v>45902.0</v>
      </c>
      <c r="I6" s="14" t="s">
        <v>14</v>
      </c>
      <c r="J6" s="13"/>
      <c r="K6" s="7"/>
      <c r="L6" s="17"/>
    </row>
    <row r="7">
      <c r="A7" s="7">
        <v>5.0</v>
      </c>
      <c r="B7" s="8">
        <v>9.08402207E8</v>
      </c>
      <c r="C7" s="9" t="s">
        <v>377</v>
      </c>
      <c r="D7" s="10">
        <v>2.7674942E7</v>
      </c>
      <c r="E7" s="16">
        <v>1.0</v>
      </c>
      <c r="F7" s="11">
        <v>1.0</v>
      </c>
      <c r="G7" s="12">
        <f t="shared" si="1"/>
        <v>0</v>
      </c>
      <c r="H7" s="13">
        <v>45902.0</v>
      </c>
      <c r="I7" s="14" t="s">
        <v>14</v>
      </c>
      <c r="J7" s="13">
        <v>45903.0</v>
      </c>
      <c r="K7" s="7" t="s">
        <v>283</v>
      </c>
      <c r="L7" s="17"/>
    </row>
    <row r="8">
      <c r="A8" s="7">
        <v>6.0</v>
      </c>
      <c r="B8" s="8">
        <v>9.08421025E8</v>
      </c>
      <c r="C8" s="20" t="s">
        <v>112</v>
      </c>
      <c r="D8" s="10">
        <v>2.7674942E7</v>
      </c>
      <c r="E8" s="16">
        <v>1.0</v>
      </c>
      <c r="F8" s="11">
        <v>1.0</v>
      </c>
      <c r="G8" s="12">
        <f t="shared" si="1"/>
        <v>0</v>
      </c>
      <c r="H8" s="13">
        <v>45902.0</v>
      </c>
      <c r="I8" s="14" t="s">
        <v>14</v>
      </c>
      <c r="J8" s="13">
        <v>45903.0</v>
      </c>
      <c r="K8" s="7" t="s">
        <v>283</v>
      </c>
      <c r="L8" s="17"/>
    </row>
    <row r="9">
      <c r="A9" s="7">
        <v>7.0</v>
      </c>
      <c r="B9" s="8" t="s">
        <v>20</v>
      </c>
      <c r="C9" s="20" t="s">
        <v>21</v>
      </c>
      <c r="D9" s="10">
        <v>2.7674942E7</v>
      </c>
      <c r="E9" s="16">
        <v>1.0</v>
      </c>
      <c r="F9" s="11">
        <v>1.0</v>
      </c>
      <c r="G9" s="12">
        <f t="shared" si="1"/>
        <v>0</v>
      </c>
      <c r="H9" s="13">
        <v>45902.0</v>
      </c>
      <c r="I9" s="14" t="s">
        <v>14</v>
      </c>
      <c r="J9" s="13">
        <v>45903.0</v>
      </c>
      <c r="K9" s="7" t="s">
        <v>283</v>
      </c>
      <c r="L9" s="17"/>
    </row>
    <row r="10">
      <c r="A10" s="7">
        <v>8.0</v>
      </c>
      <c r="B10" s="8">
        <v>9.08202189E8</v>
      </c>
      <c r="C10" s="9" t="s">
        <v>55</v>
      </c>
      <c r="D10" s="10">
        <v>2.7674942E7</v>
      </c>
      <c r="E10" s="16">
        <v>1.0</v>
      </c>
      <c r="F10" s="11">
        <v>6.0</v>
      </c>
      <c r="G10" s="12">
        <f t="shared" si="1"/>
        <v>-5</v>
      </c>
      <c r="H10" s="13">
        <v>45903.0</v>
      </c>
      <c r="I10" s="14" t="s">
        <v>14</v>
      </c>
      <c r="J10" s="13">
        <v>45903.0</v>
      </c>
      <c r="K10" s="7" t="s">
        <v>283</v>
      </c>
      <c r="L10" s="17"/>
    </row>
    <row r="11">
      <c r="A11" s="7">
        <v>9.0</v>
      </c>
      <c r="B11" s="8">
        <v>9.08111101E8</v>
      </c>
      <c r="C11" s="20" t="s">
        <v>24</v>
      </c>
      <c r="D11" s="10">
        <v>2.7674942E7</v>
      </c>
      <c r="E11" s="16">
        <v>2.0</v>
      </c>
      <c r="F11" s="11">
        <v>2.0</v>
      </c>
      <c r="G11" s="12">
        <f t="shared" si="1"/>
        <v>0</v>
      </c>
      <c r="H11" s="13">
        <v>45903.0</v>
      </c>
      <c r="I11" s="14" t="s">
        <v>14</v>
      </c>
      <c r="J11" s="13">
        <v>45903.0</v>
      </c>
      <c r="K11" s="7" t="s">
        <v>283</v>
      </c>
      <c r="L11" s="17"/>
    </row>
    <row r="12">
      <c r="A12" s="7">
        <v>10.0</v>
      </c>
      <c r="B12" s="8">
        <v>9.0820203E8</v>
      </c>
      <c r="C12" s="20" t="s">
        <v>19</v>
      </c>
      <c r="D12" s="10">
        <v>2.7674942E7</v>
      </c>
      <c r="E12" s="16">
        <v>1.0</v>
      </c>
      <c r="F12" s="11"/>
      <c r="G12" s="12">
        <f t="shared" si="1"/>
        <v>1</v>
      </c>
      <c r="H12" s="13">
        <v>45903.0</v>
      </c>
      <c r="I12" s="14" t="s">
        <v>14</v>
      </c>
      <c r="J12" s="13"/>
      <c r="K12" s="7"/>
      <c r="L12" s="17"/>
    </row>
    <row r="13">
      <c r="A13" s="7">
        <v>11.0</v>
      </c>
      <c r="B13" s="8">
        <v>9.083370504E9</v>
      </c>
      <c r="C13" s="20" t="s">
        <v>378</v>
      </c>
      <c r="D13" s="10">
        <v>2.7674942E7</v>
      </c>
      <c r="E13" s="16">
        <v>1.0</v>
      </c>
      <c r="F13" s="11">
        <v>1.0</v>
      </c>
      <c r="G13" s="12">
        <f t="shared" si="1"/>
        <v>0</v>
      </c>
      <c r="H13" s="13">
        <v>45903.0</v>
      </c>
      <c r="I13" s="14" t="s">
        <v>14</v>
      </c>
      <c r="J13" s="13">
        <v>45903.0</v>
      </c>
      <c r="K13" s="7" t="s">
        <v>283</v>
      </c>
      <c r="L13" s="17"/>
    </row>
    <row r="14">
      <c r="A14" s="7"/>
      <c r="B14" s="8"/>
      <c r="C14" s="20"/>
      <c r="D14" s="10"/>
      <c r="E14" s="16"/>
      <c r="F14" s="11"/>
      <c r="G14" s="12"/>
      <c r="H14" s="13"/>
      <c r="I14" s="14"/>
      <c r="J14" s="13"/>
      <c r="K14" s="7"/>
      <c r="L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0" width="30.57"/>
    <col customWidth="1" min="11" max="11" width="32.71"/>
    <col customWidth="1" min="12" max="12" width="41.57"/>
    <col customWidth="1" min="13" max="26" width="8.71"/>
  </cols>
  <sheetData>
    <row r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9.08321012E8</v>
      </c>
      <c r="C3" s="29" t="s">
        <v>380</v>
      </c>
      <c r="D3" s="10">
        <v>2.6947585E7</v>
      </c>
      <c r="E3" s="7">
        <v>6.0</v>
      </c>
      <c r="F3" s="11"/>
      <c r="G3" s="12">
        <f>E3-F3</f>
        <v>6</v>
      </c>
      <c r="H3" s="13">
        <v>45862.0</v>
      </c>
      <c r="I3" s="14" t="s">
        <v>14</v>
      </c>
      <c r="J3" s="15"/>
      <c r="K3" s="7"/>
      <c r="L3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9.08421005E8</v>
      </c>
      <c r="C3" s="29" t="s">
        <v>315</v>
      </c>
      <c r="D3" s="7">
        <v>2.7543389E7</v>
      </c>
      <c r="E3" s="7">
        <v>1.0</v>
      </c>
      <c r="F3" s="11">
        <v>1.0</v>
      </c>
      <c r="G3" s="12">
        <f t="shared" ref="G3:G6" si="1">E3-F3</f>
        <v>0</v>
      </c>
      <c r="H3" s="13">
        <v>45879.0</v>
      </c>
      <c r="I3" s="14" t="s">
        <v>14</v>
      </c>
      <c r="J3" s="13">
        <v>45881.0</v>
      </c>
      <c r="K3" s="40" t="s">
        <v>382</v>
      </c>
      <c r="L3" s="9"/>
    </row>
    <row r="4">
      <c r="A4" s="7">
        <v>2.0</v>
      </c>
      <c r="B4" s="8">
        <v>9.08501111E8</v>
      </c>
      <c r="C4" s="9" t="s">
        <v>125</v>
      </c>
      <c r="D4" s="7">
        <v>2.7543389E7</v>
      </c>
      <c r="E4" s="7">
        <v>3.0</v>
      </c>
      <c r="F4" s="11">
        <v>3.0</v>
      </c>
      <c r="G4" s="12">
        <f t="shared" si="1"/>
        <v>0</v>
      </c>
      <c r="H4" s="13">
        <v>45879.0</v>
      </c>
      <c r="I4" s="14" t="s">
        <v>14</v>
      </c>
      <c r="J4" s="13">
        <v>45881.0</v>
      </c>
      <c r="K4" s="40" t="s">
        <v>382</v>
      </c>
      <c r="L4" s="9"/>
    </row>
    <row r="5">
      <c r="A5" s="7">
        <v>3.0</v>
      </c>
      <c r="B5" s="8">
        <v>9.08402206E8</v>
      </c>
      <c r="C5" s="9" t="s">
        <v>82</v>
      </c>
      <c r="D5" s="7">
        <v>2.7543389E7</v>
      </c>
      <c r="E5" s="7">
        <v>1.0</v>
      </c>
      <c r="F5" s="11">
        <v>1.0</v>
      </c>
      <c r="G5" s="12">
        <f t="shared" si="1"/>
        <v>0</v>
      </c>
      <c r="H5" s="13">
        <v>45879.0</v>
      </c>
      <c r="I5" s="14" t="s">
        <v>14</v>
      </c>
      <c r="J5" s="13">
        <v>45881.0</v>
      </c>
      <c r="K5" s="40" t="s">
        <v>382</v>
      </c>
      <c r="L5" s="9"/>
    </row>
    <row r="6">
      <c r="A6" s="7">
        <v>4.0</v>
      </c>
      <c r="B6" s="8" t="s">
        <v>126</v>
      </c>
      <c r="C6" s="9" t="s">
        <v>127</v>
      </c>
      <c r="D6" s="7">
        <v>2.7543389E7</v>
      </c>
      <c r="E6" s="7">
        <v>1.0</v>
      </c>
      <c r="F6" s="11">
        <v>1.0</v>
      </c>
      <c r="G6" s="12">
        <f t="shared" si="1"/>
        <v>0</v>
      </c>
      <c r="H6" s="13">
        <v>45879.0</v>
      </c>
      <c r="I6" s="14" t="s">
        <v>14</v>
      </c>
      <c r="J6" s="13">
        <v>45881.0</v>
      </c>
      <c r="K6" s="40" t="s">
        <v>382</v>
      </c>
      <c r="L6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2.7534304E7</v>
      </c>
      <c r="E3" s="16">
        <v>2.0</v>
      </c>
      <c r="F3" s="11">
        <v>2.0</v>
      </c>
      <c r="G3" s="12">
        <f t="shared" ref="G3:G24" si="1">E3-F3</f>
        <v>0</v>
      </c>
      <c r="H3" s="13">
        <v>45879.0</v>
      </c>
      <c r="I3" s="14" t="s">
        <v>30</v>
      </c>
      <c r="J3" s="13">
        <v>45893.0</v>
      </c>
      <c r="K3" s="7" t="s">
        <v>283</v>
      </c>
      <c r="L3" s="17"/>
    </row>
    <row r="4">
      <c r="A4" s="7">
        <v>2.0</v>
      </c>
      <c r="B4" s="8">
        <v>9.0812101E8</v>
      </c>
      <c r="C4" s="9" t="s">
        <v>18</v>
      </c>
      <c r="D4" s="10">
        <v>2.7534304E7</v>
      </c>
      <c r="E4" s="16">
        <v>2.0</v>
      </c>
      <c r="F4" s="11">
        <f>1+1</f>
        <v>2</v>
      </c>
      <c r="G4" s="12">
        <f t="shared" si="1"/>
        <v>0</v>
      </c>
      <c r="H4" s="13">
        <v>45879.0</v>
      </c>
      <c r="I4" s="14" t="s">
        <v>30</v>
      </c>
      <c r="J4" s="13" t="s">
        <v>384</v>
      </c>
      <c r="K4" s="7" t="s">
        <v>283</v>
      </c>
      <c r="L4" s="17"/>
    </row>
    <row r="5">
      <c r="A5" s="7">
        <v>3.0</v>
      </c>
      <c r="B5" s="8">
        <v>9.08020201E8</v>
      </c>
      <c r="C5" s="9" t="s">
        <v>13</v>
      </c>
      <c r="D5" s="10">
        <v>2.7534304E7</v>
      </c>
      <c r="E5" s="16">
        <v>1.0</v>
      </c>
      <c r="F5" s="11"/>
      <c r="G5" s="12">
        <f t="shared" si="1"/>
        <v>1</v>
      </c>
      <c r="H5" s="13">
        <v>45879.0</v>
      </c>
      <c r="I5" s="14" t="s">
        <v>30</v>
      </c>
      <c r="J5" s="13"/>
      <c r="K5" s="7"/>
      <c r="L5" s="17"/>
    </row>
    <row r="6">
      <c r="A6" s="7">
        <v>4.0</v>
      </c>
      <c r="B6" s="19" t="s">
        <v>103</v>
      </c>
      <c r="C6" s="20" t="s">
        <v>104</v>
      </c>
      <c r="D6" s="10">
        <v>2.7534304E7</v>
      </c>
      <c r="E6" s="16">
        <v>1.0</v>
      </c>
      <c r="F6" s="11">
        <v>1.0</v>
      </c>
      <c r="G6" s="12">
        <f t="shared" si="1"/>
        <v>0</v>
      </c>
      <c r="H6" s="13">
        <v>45879.0</v>
      </c>
      <c r="I6" s="14" t="s">
        <v>30</v>
      </c>
      <c r="J6" s="13">
        <v>45893.0</v>
      </c>
      <c r="K6" s="7" t="s">
        <v>283</v>
      </c>
      <c r="L6" s="17"/>
    </row>
    <row r="7">
      <c r="A7" s="7">
        <v>5.0</v>
      </c>
      <c r="B7" s="19" t="s">
        <v>25</v>
      </c>
      <c r="C7" s="20" t="s">
        <v>26</v>
      </c>
      <c r="D7" s="10">
        <v>2.7534304E7</v>
      </c>
      <c r="E7" s="16">
        <f>16+16</f>
        <v>32</v>
      </c>
      <c r="F7" s="11">
        <v>16.0</v>
      </c>
      <c r="G7" s="12">
        <f t="shared" si="1"/>
        <v>16</v>
      </c>
      <c r="H7" s="13" t="s">
        <v>385</v>
      </c>
      <c r="I7" s="14" t="s">
        <v>30</v>
      </c>
      <c r="J7" s="13">
        <v>45893.0</v>
      </c>
      <c r="K7" s="7" t="s">
        <v>283</v>
      </c>
      <c r="L7" s="17"/>
    </row>
    <row r="8">
      <c r="A8" s="7">
        <v>6.0</v>
      </c>
      <c r="B8" s="19">
        <v>9.08122011E8</v>
      </c>
      <c r="C8" s="20" t="s">
        <v>23</v>
      </c>
      <c r="D8" s="10">
        <v>2.7534304E7</v>
      </c>
      <c r="E8" s="16">
        <v>3.0</v>
      </c>
      <c r="F8" s="11">
        <v>3.0</v>
      </c>
      <c r="G8" s="12">
        <f t="shared" si="1"/>
        <v>0</v>
      </c>
      <c r="H8" s="13">
        <v>45881.0</v>
      </c>
      <c r="I8" s="14" t="s">
        <v>30</v>
      </c>
      <c r="J8" s="13">
        <v>45902.0</v>
      </c>
      <c r="K8" s="7" t="s">
        <v>283</v>
      </c>
      <c r="L8" s="17"/>
    </row>
    <row r="9">
      <c r="A9" s="7">
        <v>7.0</v>
      </c>
      <c r="B9" s="8">
        <v>9.0812201E8</v>
      </c>
      <c r="C9" s="20" t="s">
        <v>80</v>
      </c>
      <c r="D9" s="10">
        <v>2.7534304E7</v>
      </c>
      <c r="E9" s="16">
        <v>16.0</v>
      </c>
      <c r="F9" s="11"/>
      <c r="G9" s="12">
        <f t="shared" si="1"/>
        <v>16</v>
      </c>
      <c r="H9" s="13">
        <v>45881.0</v>
      </c>
      <c r="I9" s="14" t="s">
        <v>30</v>
      </c>
      <c r="J9" s="13"/>
      <c r="K9" s="7"/>
      <c r="L9" s="17"/>
    </row>
    <row r="10">
      <c r="A10" s="7">
        <v>8.0</v>
      </c>
      <c r="B10" s="19">
        <v>9.08202098E8</v>
      </c>
      <c r="C10" s="20" t="s">
        <v>22</v>
      </c>
      <c r="D10" s="10">
        <v>2.7534304E7</v>
      </c>
      <c r="E10" s="16">
        <v>2.0</v>
      </c>
      <c r="F10" s="11">
        <v>6.0</v>
      </c>
      <c r="G10" s="12">
        <f t="shared" si="1"/>
        <v>-4</v>
      </c>
      <c r="H10" s="13">
        <v>45881.0</v>
      </c>
      <c r="I10" s="14" t="s">
        <v>30</v>
      </c>
      <c r="J10" s="13">
        <v>45893.0</v>
      </c>
      <c r="K10" s="7" t="s">
        <v>283</v>
      </c>
      <c r="L10" s="17"/>
    </row>
    <row r="11">
      <c r="A11" s="7">
        <v>10.0</v>
      </c>
      <c r="B11" s="8" t="s">
        <v>27</v>
      </c>
      <c r="C11" s="9" t="s">
        <v>28</v>
      </c>
      <c r="D11" s="10">
        <v>2.7534304E7</v>
      </c>
      <c r="E11" s="16">
        <v>60.0</v>
      </c>
      <c r="F11" s="11">
        <v>60.0</v>
      </c>
      <c r="G11" s="12">
        <f t="shared" si="1"/>
        <v>0</v>
      </c>
      <c r="H11" s="13">
        <v>45876.0</v>
      </c>
      <c r="I11" s="14" t="s">
        <v>30</v>
      </c>
      <c r="J11" s="13">
        <v>45893.0</v>
      </c>
      <c r="K11" s="7" t="s">
        <v>283</v>
      </c>
      <c r="L11" s="17"/>
    </row>
    <row r="12">
      <c r="A12" s="7">
        <v>11.0</v>
      </c>
      <c r="B12" s="8">
        <v>9.08111101E8</v>
      </c>
      <c r="C12" s="9" t="s">
        <v>24</v>
      </c>
      <c r="D12" s="10">
        <v>2.7534304E7</v>
      </c>
      <c r="E12" s="16">
        <v>6.0</v>
      </c>
      <c r="F12" s="11">
        <v>6.0</v>
      </c>
      <c r="G12" s="12">
        <f t="shared" si="1"/>
        <v>0</v>
      </c>
      <c r="H12" s="13">
        <v>45876.0</v>
      </c>
      <c r="I12" s="14" t="s">
        <v>30</v>
      </c>
      <c r="J12" s="13">
        <v>45893.0</v>
      </c>
      <c r="K12" s="7" t="s">
        <v>283</v>
      </c>
      <c r="L12" s="17"/>
    </row>
    <row r="13">
      <c r="A13" s="7">
        <v>12.0</v>
      </c>
      <c r="B13" s="8">
        <v>9.0820203E8</v>
      </c>
      <c r="C13" s="9" t="s">
        <v>19</v>
      </c>
      <c r="D13" s="10">
        <v>2.7534304E7</v>
      </c>
      <c r="E13" s="16">
        <v>2.0</v>
      </c>
      <c r="F13" s="11">
        <v>2.0</v>
      </c>
      <c r="G13" s="12">
        <f t="shared" si="1"/>
        <v>0</v>
      </c>
      <c r="H13" s="13">
        <v>45881.0</v>
      </c>
      <c r="I13" s="14" t="s">
        <v>30</v>
      </c>
      <c r="J13" s="13">
        <v>45893.0</v>
      </c>
      <c r="K13" s="7" t="s">
        <v>283</v>
      </c>
      <c r="L13" s="17"/>
    </row>
    <row r="14">
      <c r="A14" s="7">
        <v>13.0</v>
      </c>
      <c r="B14" s="19" t="s">
        <v>20</v>
      </c>
      <c r="C14" s="20" t="s">
        <v>21</v>
      </c>
      <c r="D14" s="10">
        <v>2.7534304E7</v>
      </c>
      <c r="E14" s="16">
        <v>2.0</v>
      </c>
      <c r="F14" s="11">
        <v>2.0</v>
      </c>
      <c r="G14" s="12">
        <f t="shared" si="1"/>
        <v>0</v>
      </c>
      <c r="H14" s="13">
        <v>45881.0</v>
      </c>
      <c r="I14" s="14" t="s">
        <v>30</v>
      </c>
      <c r="J14" s="13">
        <v>45893.0</v>
      </c>
      <c r="K14" s="7" t="s">
        <v>283</v>
      </c>
      <c r="L14" s="17"/>
    </row>
    <row r="15">
      <c r="A15" s="7">
        <v>14.0</v>
      </c>
      <c r="B15" s="19">
        <v>9.08421003E8</v>
      </c>
      <c r="C15" s="20" t="s">
        <v>386</v>
      </c>
      <c r="D15" s="10">
        <v>2.7798608E7</v>
      </c>
      <c r="E15" s="16">
        <v>1.0</v>
      </c>
      <c r="F15" s="11">
        <v>1.0</v>
      </c>
      <c r="G15" s="12">
        <f t="shared" si="1"/>
        <v>0</v>
      </c>
      <c r="H15" s="13">
        <v>45925.0</v>
      </c>
      <c r="I15" s="14" t="s">
        <v>30</v>
      </c>
      <c r="J15" s="13">
        <v>45927.0</v>
      </c>
      <c r="K15" s="7" t="s">
        <v>16</v>
      </c>
      <c r="L15" s="17"/>
    </row>
    <row r="16">
      <c r="A16" s="7">
        <v>15.0</v>
      </c>
      <c r="B16" s="19">
        <v>9.08402208E8</v>
      </c>
      <c r="C16" s="20" t="s">
        <v>111</v>
      </c>
      <c r="D16" s="10">
        <v>2.7798608E7</v>
      </c>
      <c r="E16" s="16">
        <v>5.0</v>
      </c>
      <c r="F16" s="11">
        <v>5.0</v>
      </c>
      <c r="G16" s="12">
        <f t="shared" si="1"/>
        <v>0</v>
      </c>
      <c r="H16" s="13">
        <v>45925.0</v>
      </c>
      <c r="I16" s="14" t="s">
        <v>30</v>
      </c>
      <c r="J16" s="13">
        <v>45927.0</v>
      </c>
      <c r="K16" s="7" t="s">
        <v>16</v>
      </c>
      <c r="L16" s="17"/>
    </row>
    <row r="17">
      <c r="A17" s="7">
        <v>16.0</v>
      </c>
      <c r="B17" s="19">
        <v>9.08371013E8</v>
      </c>
      <c r="C17" s="20" t="s">
        <v>121</v>
      </c>
      <c r="D17" s="10">
        <v>2.7798608E7</v>
      </c>
      <c r="E17" s="16">
        <v>5.0</v>
      </c>
      <c r="F17" s="11">
        <v>5.0</v>
      </c>
      <c r="G17" s="12">
        <f t="shared" si="1"/>
        <v>0</v>
      </c>
      <c r="H17" s="13">
        <v>45925.0</v>
      </c>
      <c r="I17" s="14" t="s">
        <v>30</v>
      </c>
      <c r="J17" s="13">
        <v>45927.0</v>
      </c>
      <c r="K17" s="7" t="s">
        <v>16</v>
      </c>
      <c r="L17" s="17"/>
    </row>
    <row r="18">
      <c r="A18" s="7">
        <v>17.0</v>
      </c>
      <c r="B18" s="19">
        <v>9.0820203E8</v>
      </c>
      <c r="C18" s="20" t="s">
        <v>19</v>
      </c>
      <c r="D18" s="10">
        <v>2.7798608E7</v>
      </c>
      <c r="E18" s="16">
        <v>6.0</v>
      </c>
      <c r="F18" s="11">
        <v>6.0</v>
      </c>
      <c r="G18" s="12">
        <f t="shared" si="1"/>
        <v>0</v>
      </c>
      <c r="H18" s="13">
        <v>45925.0</v>
      </c>
      <c r="I18" s="14" t="s">
        <v>30</v>
      </c>
      <c r="J18" s="13">
        <v>45927.0</v>
      </c>
      <c r="K18" s="7" t="s">
        <v>16</v>
      </c>
      <c r="L18" s="17"/>
    </row>
    <row r="19">
      <c r="A19" s="7">
        <v>18.0</v>
      </c>
      <c r="B19" s="19">
        <v>9.08122003E8</v>
      </c>
      <c r="C19" s="20" t="s">
        <v>368</v>
      </c>
      <c r="D19" s="10">
        <v>2.7798608E7</v>
      </c>
      <c r="E19" s="16">
        <v>16.0</v>
      </c>
      <c r="F19" s="11">
        <v>16.0</v>
      </c>
      <c r="G19" s="12">
        <f t="shared" si="1"/>
        <v>0</v>
      </c>
      <c r="H19" s="13">
        <v>45925.0</v>
      </c>
      <c r="I19" s="14" t="s">
        <v>30</v>
      </c>
      <c r="J19" s="13">
        <v>45927.0</v>
      </c>
      <c r="K19" s="7" t="s">
        <v>16</v>
      </c>
      <c r="L19" s="17"/>
    </row>
    <row r="20">
      <c r="A20" s="7">
        <v>19.0</v>
      </c>
      <c r="B20" s="19">
        <v>9.08111101E8</v>
      </c>
      <c r="C20" s="20" t="s">
        <v>24</v>
      </c>
      <c r="D20" s="10">
        <v>2.7798608E7</v>
      </c>
      <c r="E20" s="16">
        <v>4.0</v>
      </c>
      <c r="F20" s="11">
        <v>4.0</v>
      </c>
      <c r="G20" s="12">
        <f t="shared" si="1"/>
        <v>0</v>
      </c>
      <c r="H20" s="13">
        <v>45959.0</v>
      </c>
      <c r="I20" s="14" t="s">
        <v>30</v>
      </c>
      <c r="J20" s="13">
        <v>45927.0</v>
      </c>
      <c r="K20" s="7" t="s">
        <v>16</v>
      </c>
      <c r="L20" s="17"/>
    </row>
    <row r="21" ht="15.75" customHeight="1">
      <c r="A21" s="7">
        <v>20.0</v>
      </c>
      <c r="B21" s="19">
        <v>9.0812201E8</v>
      </c>
      <c r="C21" s="20" t="s">
        <v>80</v>
      </c>
      <c r="D21" s="10">
        <v>2.7798608E7</v>
      </c>
      <c r="E21" s="16">
        <v>12.0</v>
      </c>
      <c r="F21" s="11">
        <v>12.0</v>
      </c>
      <c r="G21" s="12">
        <f t="shared" si="1"/>
        <v>0</v>
      </c>
      <c r="H21" s="13">
        <v>45925.0</v>
      </c>
      <c r="I21" s="14" t="s">
        <v>30</v>
      </c>
      <c r="J21" s="13">
        <v>45927.0</v>
      </c>
      <c r="K21" s="7" t="s">
        <v>16</v>
      </c>
      <c r="L21" s="17"/>
    </row>
    <row r="22" ht="15.75" customHeight="1">
      <c r="A22" s="7">
        <v>21.0</v>
      </c>
      <c r="B22" s="19">
        <v>9.08202189E8</v>
      </c>
      <c r="C22" s="20" t="s">
        <v>55</v>
      </c>
      <c r="D22" s="10">
        <v>2.7798608E7</v>
      </c>
      <c r="E22" s="16">
        <v>2.0</v>
      </c>
      <c r="F22" s="11">
        <v>2.0</v>
      </c>
      <c r="G22" s="12">
        <f t="shared" si="1"/>
        <v>0</v>
      </c>
      <c r="H22" s="13">
        <v>45925.0</v>
      </c>
      <c r="I22" s="14" t="s">
        <v>30</v>
      </c>
      <c r="J22" s="13">
        <v>45927.0</v>
      </c>
      <c r="K22" s="7" t="s">
        <v>16</v>
      </c>
      <c r="L22" s="17"/>
    </row>
    <row r="23" ht="15.75" customHeight="1">
      <c r="A23" s="7">
        <v>22.0</v>
      </c>
      <c r="B23" s="19" t="s">
        <v>20</v>
      </c>
      <c r="C23" s="20" t="s">
        <v>21</v>
      </c>
      <c r="D23" s="10">
        <v>2.7798608E7</v>
      </c>
      <c r="E23" s="16">
        <v>2.0</v>
      </c>
      <c r="F23" s="11">
        <v>2.0</v>
      </c>
      <c r="G23" s="12">
        <f t="shared" si="1"/>
        <v>0</v>
      </c>
      <c r="H23" s="13">
        <v>45925.0</v>
      </c>
      <c r="I23" s="14" t="s">
        <v>30</v>
      </c>
      <c r="J23" s="13">
        <v>45927.0</v>
      </c>
      <c r="K23" s="7" t="s">
        <v>16</v>
      </c>
      <c r="L23" s="17"/>
    </row>
    <row r="24" ht="15.75" customHeight="1">
      <c r="A24" s="7">
        <v>23.0</v>
      </c>
      <c r="B24" s="19">
        <v>9.08421025E8</v>
      </c>
      <c r="C24" s="20" t="s">
        <v>387</v>
      </c>
      <c r="D24" s="10">
        <v>2.7798608E7</v>
      </c>
      <c r="E24" s="16">
        <v>1.0</v>
      </c>
      <c r="F24" s="11">
        <v>1.0</v>
      </c>
      <c r="G24" s="12">
        <f t="shared" si="1"/>
        <v>0</v>
      </c>
      <c r="H24" s="13">
        <v>45925.0</v>
      </c>
      <c r="I24" s="14" t="s">
        <v>30</v>
      </c>
      <c r="J24" s="13">
        <v>45927.0</v>
      </c>
      <c r="K24" s="7" t="s">
        <v>16</v>
      </c>
      <c r="L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2.7533692E7</v>
      </c>
      <c r="E3" s="7">
        <v>2.0</v>
      </c>
      <c r="F3" s="11">
        <v>2.0</v>
      </c>
      <c r="G3" s="12">
        <f t="shared" ref="G3:G4" si="1">E3-F3</f>
        <v>0</v>
      </c>
      <c r="H3" s="13">
        <v>45879.0</v>
      </c>
      <c r="I3" s="14" t="s">
        <v>14</v>
      </c>
      <c r="J3" s="15">
        <v>45899.0</v>
      </c>
      <c r="K3" s="7" t="s">
        <v>283</v>
      </c>
      <c r="L3" s="9"/>
    </row>
    <row r="4">
      <c r="A4" s="7">
        <v>2.0</v>
      </c>
      <c r="B4" s="8" t="s">
        <v>25</v>
      </c>
      <c r="C4" s="9" t="s">
        <v>26</v>
      </c>
      <c r="D4" s="10">
        <v>2.7533692E7</v>
      </c>
      <c r="E4" s="7">
        <v>71.0</v>
      </c>
      <c r="F4" s="11">
        <v>85.0</v>
      </c>
      <c r="G4" s="12">
        <f t="shared" si="1"/>
        <v>-14</v>
      </c>
      <c r="H4" s="13">
        <v>45876.0</v>
      </c>
      <c r="I4" s="14" t="s">
        <v>14</v>
      </c>
      <c r="J4" s="15">
        <v>45892.0</v>
      </c>
      <c r="K4" s="7" t="s">
        <v>283</v>
      </c>
      <c r="L4" s="9"/>
    </row>
    <row r="5">
      <c r="A5" s="7">
        <v>3.0</v>
      </c>
      <c r="B5" s="8">
        <v>9.0812201E8</v>
      </c>
      <c r="C5" s="9" t="s">
        <v>80</v>
      </c>
      <c r="D5" s="10">
        <v>2.7533692E7</v>
      </c>
      <c r="E5" s="7">
        <v>16.0</v>
      </c>
      <c r="F5" s="11"/>
      <c r="G5" s="12">
        <v>16.0</v>
      </c>
      <c r="H5" s="13">
        <v>45881.0</v>
      </c>
      <c r="I5" s="14" t="s">
        <v>14</v>
      </c>
      <c r="J5" s="15"/>
      <c r="K5" s="7"/>
      <c r="L5" s="9"/>
    </row>
    <row r="6">
      <c r="A6" s="7"/>
      <c r="B6" s="8"/>
      <c r="C6" s="9"/>
      <c r="D6" s="10"/>
      <c r="E6" s="7"/>
      <c r="F6" s="11"/>
      <c r="G6" s="12"/>
      <c r="H6" s="13"/>
      <c r="I6" s="14"/>
      <c r="J6" s="15"/>
      <c r="K6" s="7"/>
      <c r="L6" s="9"/>
    </row>
    <row r="7">
      <c r="A7" s="7"/>
      <c r="B7" s="8"/>
      <c r="C7" s="9"/>
      <c r="D7" s="10"/>
      <c r="E7" s="7"/>
      <c r="F7" s="11"/>
      <c r="G7" s="12"/>
      <c r="H7" s="13"/>
      <c r="I7" s="14"/>
      <c r="J7" s="15"/>
      <c r="K7" s="7"/>
      <c r="L7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9.08121009E8</v>
      </c>
      <c r="C3" s="9" t="s">
        <v>390</v>
      </c>
      <c r="D3" s="7">
        <v>2.7520404E7</v>
      </c>
      <c r="E3" s="7">
        <v>4.0</v>
      </c>
      <c r="F3" s="11"/>
      <c r="G3" s="12">
        <f t="shared" ref="G3:G12" si="1">E3-F3</f>
        <v>4</v>
      </c>
      <c r="H3" s="13">
        <v>45875.0</v>
      </c>
      <c r="I3" s="14" t="s">
        <v>14</v>
      </c>
      <c r="J3" s="13"/>
      <c r="K3" s="7"/>
      <c r="L3" s="9" t="s">
        <v>341</v>
      </c>
    </row>
    <row r="4">
      <c r="A4" s="7">
        <v>2.0</v>
      </c>
      <c r="B4" s="8">
        <v>9.08121002E8</v>
      </c>
      <c r="C4" s="9" t="s">
        <v>391</v>
      </c>
      <c r="D4" s="7">
        <v>2.7520404E7</v>
      </c>
      <c r="E4" s="7">
        <v>4.0</v>
      </c>
      <c r="F4" s="11"/>
      <c r="G4" s="12">
        <f t="shared" si="1"/>
        <v>4</v>
      </c>
      <c r="H4" s="13">
        <v>45875.0</v>
      </c>
      <c r="I4" s="14" t="s">
        <v>14</v>
      </c>
      <c r="J4" s="13"/>
      <c r="K4" s="7"/>
      <c r="L4" s="9"/>
    </row>
    <row r="5">
      <c r="A5" s="7">
        <v>3.0</v>
      </c>
      <c r="B5" s="8">
        <v>9.08122038E8</v>
      </c>
      <c r="C5" s="29" t="s">
        <v>392</v>
      </c>
      <c r="D5" s="7">
        <v>2.7520404E7</v>
      </c>
      <c r="E5" s="7">
        <v>12.0</v>
      </c>
      <c r="F5" s="11"/>
      <c r="G5" s="12">
        <f t="shared" si="1"/>
        <v>12</v>
      </c>
      <c r="H5" s="13">
        <v>45875.0</v>
      </c>
      <c r="I5" s="14" t="s">
        <v>14</v>
      </c>
      <c r="J5" s="13"/>
      <c r="K5" s="7"/>
      <c r="L5" s="9"/>
    </row>
    <row r="6">
      <c r="A6" s="7">
        <v>4.0</v>
      </c>
      <c r="B6" s="19">
        <v>9.08122039E8</v>
      </c>
      <c r="C6" s="20" t="s">
        <v>393</v>
      </c>
      <c r="D6" s="7">
        <v>2.7520404E7</v>
      </c>
      <c r="E6" s="7">
        <v>4.0</v>
      </c>
      <c r="F6" s="11">
        <f>4+2</f>
        <v>6</v>
      </c>
      <c r="G6" s="12">
        <f t="shared" si="1"/>
        <v>-2</v>
      </c>
      <c r="H6" s="13">
        <v>45875.0</v>
      </c>
      <c r="I6" s="14" t="s">
        <v>14</v>
      </c>
      <c r="J6" s="13" t="s">
        <v>394</v>
      </c>
      <c r="K6" s="7" t="s">
        <v>37</v>
      </c>
      <c r="L6" s="89" t="s">
        <v>395</v>
      </c>
    </row>
    <row r="7">
      <c r="A7" s="7">
        <v>5.0</v>
      </c>
      <c r="B7" s="19">
        <v>9.08113006E8</v>
      </c>
      <c r="C7" s="20" t="s">
        <v>396</v>
      </c>
      <c r="D7" s="7">
        <v>2.7520404E7</v>
      </c>
      <c r="E7" s="7">
        <f>300+2500+2000</f>
        <v>4800</v>
      </c>
      <c r="F7" s="11">
        <f>500+500+500+500+500+500+61</f>
        <v>3061</v>
      </c>
      <c r="G7" s="12">
        <f t="shared" si="1"/>
        <v>1739</v>
      </c>
      <c r="H7" s="13" t="s">
        <v>397</v>
      </c>
      <c r="I7" s="14" t="s">
        <v>14</v>
      </c>
      <c r="J7" s="13" t="s">
        <v>398</v>
      </c>
      <c r="K7" s="7" t="s">
        <v>37</v>
      </c>
      <c r="L7" s="89" t="s">
        <v>399</v>
      </c>
    </row>
    <row r="8">
      <c r="A8" s="7">
        <v>6.0</v>
      </c>
      <c r="B8" s="19">
        <v>9.0812113E8</v>
      </c>
      <c r="C8" s="20" t="s">
        <v>400</v>
      </c>
      <c r="D8" s="7">
        <v>2.7520404E7</v>
      </c>
      <c r="E8" s="7">
        <v>28.0</v>
      </c>
      <c r="F8" s="11">
        <v>6.0</v>
      </c>
      <c r="G8" s="12">
        <f t="shared" si="1"/>
        <v>22</v>
      </c>
      <c r="H8" s="13">
        <v>45902.0</v>
      </c>
      <c r="I8" s="14" t="s">
        <v>14</v>
      </c>
      <c r="J8" s="13">
        <v>46041.0</v>
      </c>
      <c r="K8" s="7" t="s">
        <v>37</v>
      </c>
      <c r="L8" s="9"/>
    </row>
    <row r="9">
      <c r="A9" s="7">
        <v>7.0</v>
      </c>
      <c r="B9" s="19">
        <v>9.08111003E8</v>
      </c>
      <c r="C9" s="20" t="s">
        <v>56</v>
      </c>
      <c r="D9" s="7">
        <v>2.7520404E7</v>
      </c>
      <c r="E9" s="7">
        <v>1629.0</v>
      </c>
      <c r="F9" s="11">
        <f>500+500+20</f>
        <v>1020</v>
      </c>
      <c r="G9" s="12">
        <f t="shared" si="1"/>
        <v>609</v>
      </c>
      <c r="H9" s="13">
        <v>45900.0</v>
      </c>
      <c r="I9" s="14" t="s">
        <v>14</v>
      </c>
      <c r="J9" s="13" t="s">
        <v>401</v>
      </c>
      <c r="K9" s="7" t="s">
        <v>37</v>
      </c>
      <c r="L9" s="89" t="s">
        <v>402</v>
      </c>
    </row>
    <row r="10">
      <c r="A10" s="7">
        <v>8.0</v>
      </c>
      <c r="B10" s="19">
        <v>9.08121169E8</v>
      </c>
      <c r="C10" s="19" t="s">
        <v>403</v>
      </c>
      <c r="D10" s="7">
        <v>2.7520404E7</v>
      </c>
      <c r="E10" s="7">
        <v>15.0</v>
      </c>
      <c r="F10" s="11">
        <v>6.0</v>
      </c>
      <c r="G10" s="12">
        <f t="shared" si="1"/>
        <v>9</v>
      </c>
      <c r="H10" s="13">
        <v>45930.0</v>
      </c>
      <c r="I10" s="14" t="s">
        <v>14</v>
      </c>
      <c r="J10" s="13">
        <v>45931.0</v>
      </c>
      <c r="K10" s="7" t="s">
        <v>37</v>
      </c>
    </row>
    <row r="11">
      <c r="A11" s="7">
        <v>9.0</v>
      </c>
      <c r="B11" s="19">
        <v>9.0812115E8</v>
      </c>
      <c r="C11" s="20" t="s">
        <v>404</v>
      </c>
      <c r="D11" s="7">
        <v>2.7520404E7</v>
      </c>
      <c r="E11" s="7">
        <v>2.0</v>
      </c>
      <c r="F11" s="11"/>
      <c r="G11" s="12">
        <f t="shared" si="1"/>
        <v>2</v>
      </c>
      <c r="H11" s="13">
        <v>45930.0</v>
      </c>
      <c r="I11" s="14" t="s">
        <v>14</v>
      </c>
      <c r="J11" s="13"/>
      <c r="K11" s="7"/>
      <c r="L11" s="9"/>
    </row>
    <row r="12">
      <c r="A12" s="7">
        <v>10.0</v>
      </c>
      <c r="B12" s="9" t="s">
        <v>176</v>
      </c>
      <c r="C12" s="9" t="s">
        <v>177</v>
      </c>
      <c r="D12" s="7"/>
      <c r="E12" s="7"/>
      <c r="F12" s="11">
        <v>1.0</v>
      </c>
      <c r="G12" s="12">
        <f t="shared" si="1"/>
        <v>-1</v>
      </c>
      <c r="H12" s="13"/>
      <c r="I12" s="14"/>
      <c r="J12" s="13">
        <v>46041.0</v>
      </c>
      <c r="K12" s="7" t="s">
        <v>37</v>
      </c>
      <c r="L12" s="9"/>
    </row>
    <row r="15">
      <c r="A15" s="4" t="s">
        <v>1</v>
      </c>
      <c r="B15" s="5" t="s">
        <v>2</v>
      </c>
      <c r="C15" s="4" t="s">
        <v>73</v>
      </c>
      <c r="D15" s="4" t="s">
        <v>6</v>
      </c>
      <c r="E15" s="90" t="s">
        <v>8</v>
      </c>
      <c r="F15" s="45" t="s">
        <v>11</v>
      </c>
      <c r="G15" s="27"/>
    </row>
    <row r="16">
      <c r="A16" s="19">
        <v>1.0</v>
      </c>
      <c r="B16" s="19">
        <v>9.08113006E8</v>
      </c>
      <c r="C16" s="20" t="s">
        <v>396</v>
      </c>
      <c r="D16" s="20">
        <f>0.78+0.78+0.9+0.7+0.68+0.78+2.88+3.1+2.28+2.08+2.29+2.62+2+1.59+1.47+3.89+3.5+4.42</f>
        <v>36.74</v>
      </c>
      <c r="E16" s="67">
        <v>45931.0</v>
      </c>
      <c r="F16" s="68" t="s">
        <v>37</v>
      </c>
      <c r="G16" s="27"/>
    </row>
    <row r="17">
      <c r="A17" s="19">
        <v>2.0</v>
      </c>
      <c r="B17" s="19">
        <v>9.08113006E8</v>
      </c>
      <c r="C17" s="20" t="s">
        <v>396</v>
      </c>
      <c r="D17" s="20">
        <f>0.67+0.64+0.75+0.63+0.55+0.62+0.66+0.7+0.77+0.74+0.55+0.55+1.35+1.9+1.8+2.7+2.65+2.35+4.15+4.5+4+7.1+7+7.2</f>
        <v>54.53</v>
      </c>
      <c r="E17" s="67">
        <v>46041.0</v>
      </c>
      <c r="F17" s="68" t="s">
        <v>37</v>
      </c>
      <c r="G17" s="27"/>
    </row>
    <row r="18">
      <c r="A18" s="19">
        <v>3.0</v>
      </c>
      <c r="B18" s="19">
        <v>9.08113006E8</v>
      </c>
      <c r="C18" s="20" t="s">
        <v>396</v>
      </c>
      <c r="D18" s="20">
        <f>1.3+1.4+1.25+0.64+0.7+0.6+2.38+3.38+2.51</f>
        <v>14.16</v>
      </c>
      <c r="E18" s="67">
        <v>46061.0</v>
      </c>
      <c r="F18" s="68" t="s">
        <v>37</v>
      </c>
      <c r="G18" s="27"/>
      <c r="H18" s="91" t="s">
        <v>405</v>
      </c>
      <c r="I18" s="27"/>
    </row>
    <row r="21" ht="15.75" customHeight="1"/>
    <row r="22" ht="15.75" customHeight="1">
      <c r="A22" s="4" t="s">
        <v>1</v>
      </c>
      <c r="B22" s="5" t="s">
        <v>2</v>
      </c>
      <c r="C22" s="4" t="s">
        <v>3</v>
      </c>
      <c r="D22" s="4" t="s">
        <v>6</v>
      </c>
      <c r="E22" s="90" t="s">
        <v>8</v>
      </c>
      <c r="F22" s="45" t="s">
        <v>11</v>
      </c>
      <c r="G22" s="27"/>
    </row>
    <row r="23" ht="15.75" customHeight="1">
      <c r="A23" s="19">
        <v>1.0</v>
      </c>
      <c r="B23" s="19">
        <v>9.08111003E8</v>
      </c>
      <c r="C23" s="20" t="s">
        <v>56</v>
      </c>
      <c r="D23" s="20">
        <f>1.23+1.53+1.92+2.8</f>
        <v>7.48</v>
      </c>
      <c r="E23" s="67">
        <v>45931.0</v>
      </c>
      <c r="F23" s="68" t="s">
        <v>37</v>
      </c>
      <c r="G23" s="27"/>
    </row>
    <row r="24" ht="15.75" customHeight="1">
      <c r="A24" s="19">
        <v>2.0</v>
      </c>
      <c r="B24" s="19">
        <v>9.08111003E8</v>
      </c>
      <c r="C24" s="20" t="s">
        <v>56</v>
      </c>
      <c r="D24" s="20">
        <f>1.6+1.56+2.25</f>
        <v>5.41</v>
      </c>
      <c r="E24" s="67">
        <v>46041.0</v>
      </c>
      <c r="F24" s="68" t="s">
        <v>37</v>
      </c>
      <c r="G24" s="27"/>
    </row>
    <row r="25" ht="15.75" customHeight="1">
      <c r="A25" s="19">
        <v>3.0</v>
      </c>
      <c r="B25" s="19">
        <v>9.08111003E8</v>
      </c>
      <c r="C25" s="20" t="s">
        <v>56</v>
      </c>
      <c r="D25" s="20">
        <f>2.48+1.38</f>
        <v>3.86</v>
      </c>
      <c r="E25" s="67">
        <v>46061.0</v>
      </c>
      <c r="F25" s="68" t="s">
        <v>37</v>
      </c>
      <c r="G25" s="27"/>
      <c r="H25" s="91" t="s">
        <v>405</v>
      </c>
      <c r="I25" s="2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23:G23"/>
    <mergeCell ref="F24:G24"/>
    <mergeCell ref="F25:G25"/>
    <mergeCell ref="H25:I25"/>
    <mergeCell ref="A1:L1"/>
    <mergeCell ref="F15:G15"/>
    <mergeCell ref="F16:G16"/>
    <mergeCell ref="F17:G17"/>
    <mergeCell ref="F18:G18"/>
    <mergeCell ref="H18:I18"/>
    <mergeCell ref="F22:G22"/>
  </mergeCells>
  <printOptions/>
  <pageMargins bottom="0.75" footer="0.0" header="0.0" left="0.7" right="0.7" top="0.75"/>
  <pageSetup scale="27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2.7485509E7</v>
      </c>
      <c r="E3" s="7">
        <v>33.0</v>
      </c>
      <c r="F3" s="11">
        <v>33.0</v>
      </c>
      <c r="G3" s="12">
        <f>E3-F3</f>
        <v>0</v>
      </c>
      <c r="H3" s="13">
        <v>45873.0</v>
      </c>
      <c r="I3" s="14" t="s">
        <v>14</v>
      </c>
      <c r="J3" s="15">
        <v>45876.0</v>
      </c>
      <c r="K3" s="7" t="s">
        <v>283</v>
      </c>
      <c r="L3" s="9"/>
    </row>
    <row r="4">
      <c r="A4" s="7">
        <v>2.0</v>
      </c>
      <c r="B4" s="8">
        <v>9.08121008E8</v>
      </c>
      <c r="C4" s="9" t="s">
        <v>17</v>
      </c>
      <c r="D4" s="10">
        <v>2.7485509E7</v>
      </c>
      <c r="E4" s="7">
        <v>2.0</v>
      </c>
      <c r="F4" s="11">
        <v>2.0</v>
      </c>
      <c r="G4" s="12">
        <v>2.0</v>
      </c>
      <c r="H4" s="13">
        <v>45869.0</v>
      </c>
      <c r="I4" s="14" t="s">
        <v>14</v>
      </c>
      <c r="J4" s="15">
        <v>45882.0</v>
      </c>
      <c r="K4" s="7" t="s">
        <v>283</v>
      </c>
      <c r="L4" s="9"/>
    </row>
    <row r="5">
      <c r="A5" s="7">
        <v>3.0</v>
      </c>
      <c r="B5" s="8">
        <v>9.08421025E8</v>
      </c>
      <c r="C5" s="9" t="s">
        <v>112</v>
      </c>
      <c r="D5" s="10">
        <v>2.7727674E7</v>
      </c>
      <c r="E5" s="7">
        <v>2.0</v>
      </c>
      <c r="F5" s="11">
        <v>2.0</v>
      </c>
      <c r="G5" s="12">
        <f t="shared" ref="G5:G13" si="1">E5-F5</f>
        <v>0</v>
      </c>
      <c r="H5" s="13">
        <v>45911.0</v>
      </c>
      <c r="I5" s="14" t="s">
        <v>14</v>
      </c>
      <c r="J5" s="15">
        <v>45915.0</v>
      </c>
      <c r="K5" s="7" t="s">
        <v>16</v>
      </c>
      <c r="L5" s="9"/>
    </row>
    <row r="6">
      <c r="A6" s="7">
        <v>4.0</v>
      </c>
      <c r="B6" s="8">
        <v>9.08402208E8</v>
      </c>
      <c r="C6" s="9" t="s">
        <v>111</v>
      </c>
      <c r="D6" s="10">
        <v>2.7727674E7</v>
      </c>
      <c r="E6" s="7">
        <v>2.0</v>
      </c>
      <c r="F6" s="11">
        <v>2.0</v>
      </c>
      <c r="G6" s="12">
        <f t="shared" si="1"/>
        <v>0</v>
      </c>
      <c r="H6" s="13">
        <v>45911.0</v>
      </c>
      <c r="I6" s="14" t="s">
        <v>14</v>
      </c>
      <c r="J6" s="15">
        <v>45915.0</v>
      </c>
      <c r="K6" s="7" t="s">
        <v>16</v>
      </c>
      <c r="L6" s="9"/>
    </row>
    <row r="7">
      <c r="A7" s="7">
        <v>5.0</v>
      </c>
      <c r="B7" s="8">
        <v>9.08371014E8</v>
      </c>
      <c r="C7" s="9" t="s">
        <v>113</v>
      </c>
      <c r="D7" s="10">
        <v>2.7727674E7</v>
      </c>
      <c r="E7" s="7">
        <v>2.0</v>
      </c>
      <c r="F7" s="11">
        <v>2.0</v>
      </c>
      <c r="G7" s="12">
        <f t="shared" si="1"/>
        <v>0</v>
      </c>
      <c r="H7" s="13">
        <v>45911.0</v>
      </c>
      <c r="I7" s="14" t="s">
        <v>14</v>
      </c>
      <c r="J7" s="15">
        <v>45915.0</v>
      </c>
      <c r="K7" s="7" t="s">
        <v>16</v>
      </c>
      <c r="L7" s="9"/>
    </row>
    <row r="8">
      <c r="A8" s="7">
        <v>6.0</v>
      </c>
      <c r="B8" s="8">
        <v>9.08111101E8</v>
      </c>
      <c r="C8" s="9" t="s">
        <v>24</v>
      </c>
      <c r="D8" s="10"/>
      <c r="E8" s="7"/>
      <c r="F8" s="11">
        <v>4.0</v>
      </c>
      <c r="G8" s="12">
        <f t="shared" si="1"/>
        <v>-4</v>
      </c>
      <c r="H8" s="13"/>
      <c r="I8" s="14"/>
      <c r="J8" s="15">
        <v>45915.0</v>
      </c>
      <c r="K8" s="7" t="s">
        <v>16</v>
      </c>
      <c r="L8" s="9"/>
    </row>
    <row r="9">
      <c r="A9" s="7">
        <v>7.0</v>
      </c>
      <c r="B9" s="8">
        <v>9.0812201E8</v>
      </c>
      <c r="C9" s="9" t="s">
        <v>80</v>
      </c>
      <c r="D9" s="10">
        <v>2.7727674E7</v>
      </c>
      <c r="E9" s="7">
        <v>8.0</v>
      </c>
      <c r="F9" s="11"/>
      <c r="G9" s="12">
        <f t="shared" si="1"/>
        <v>8</v>
      </c>
      <c r="H9" s="13">
        <v>45911.0</v>
      </c>
      <c r="I9" s="14" t="s">
        <v>14</v>
      </c>
      <c r="J9" s="15"/>
      <c r="K9" s="7"/>
      <c r="L9" s="9"/>
    </row>
    <row r="10">
      <c r="A10" s="7">
        <v>8.0</v>
      </c>
      <c r="B10" s="8">
        <v>9.08202189E8</v>
      </c>
      <c r="C10" s="9" t="s">
        <v>55</v>
      </c>
      <c r="D10" s="10">
        <v>2.7727674E7</v>
      </c>
      <c r="E10" s="7">
        <v>2.0</v>
      </c>
      <c r="F10" s="11">
        <v>6.0</v>
      </c>
      <c r="G10" s="12">
        <f t="shared" si="1"/>
        <v>-4</v>
      </c>
      <c r="H10" s="13">
        <v>45911.0</v>
      </c>
      <c r="I10" s="14" t="s">
        <v>14</v>
      </c>
      <c r="J10" s="15">
        <v>45915.0</v>
      </c>
      <c r="K10" s="7" t="s">
        <v>16</v>
      </c>
      <c r="L10" s="9"/>
    </row>
    <row r="11">
      <c r="A11" s="7">
        <v>9.0</v>
      </c>
      <c r="B11" s="8" t="s">
        <v>20</v>
      </c>
      <c r="C11" s="9" t="s">
        <v>21</v>
      </c>
      <c r="D11" s="10">
        <v>2.7727674E7</v>
      </c>
      <c r="E11" s="7">
        <v>2.0</v>
      </c>
      <c r="F11" s="11">
        <v>2.0</v>
      </c>
      <c r="G11" s="12">
        <f t="shared" si="1"/>
        <v>0</v>
      </c>
      <c r="H11" s="13">
        <v>45911.0</v>
      </c>
      <c r="I11" s="14" t="s">
        <v>14</v>
      </c>
      <c r="J11" s="15">
        <v>45915.0</v>
      </c>
      <c r="K11" s="7" t="s">
        <v>16</v>
      </c>
      <c r="L11" s="9"/>
    </row>
    <row r="12">
      <c r="A12" s="7">
        <v>10.0</v>
      </c>
      <c r="B12" s="8">
        <v>9.0820203E8</v>
      </c>
      <c r="C12" s="9" t="s">
        <v>19</v>
      </c>
      <c r="D12" s="10">
        <v>2.7727674E7</v>
      </c>
      <c r="E12" s="7">
        <v>2.0</v>
      </c>
      <c r="F12" s="11"/>
      <c r="G12" s="12">
        <f t="shared" si="1"/>
        <v>2</v>
      </c>
      <c r="H12" s="13">
        <v>45911.0</v>
      </c>
      <c r="I12" s="14" t="s">
        <v>14</v>
      </c>
      <c r="J12" s="15"/>
      <c r="K12" s="7"/>
      <c r="L12" s="9"/>
    </row>
    <row r="13">
      <c r="A13" s="7">
        <v>11.0</v>
      </c>
      <c r="B13" s="8">
        <v>9.08020201E8</v>
      </c>
      <c r="C13" s="9" t="s">
        <v>13</v>
      </c>
      <c r="D13" s="10">
        <v>2.7727674E7</v>
      </c>
      <c r="E13" s="7">
        <v>2.0</v>
      </c>
      <c r="F13" s="11"/>
      <c r="G13" s="12">
        <f t="shared" si="1"/>
        <v>2</v>
      </c>
      <c r="H13" s="13">
        <v>45911.0</v>
      </c>
      <c r="I13" s="14" t="s">
        <v>14</v>
      </c>
      <c r="J13" s="15"/>
      <c r="K13" s="7"/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2.7488976E7</v>
      </c>
      <c r="E3" s="7">
        <v>1.0</v>
      </c>
      <c r="F3" s="11">
        <v>1.0</v>
      </c>
      <c r="G3" s="12">
        <f t="shared" ref="G3:G13" si="1">E3-F3</f>
        <v>0</v>
      </c>
      <c r="H3" s="13">
        <v>45873.0</v>
      </c>
      <c r="I3" s="14" t="s">
        <v>14</v>
      </c>
      <c r="J3" s="13">
        <v>45882.0</v>
      </c>
      <c r="K3" s="7" t="s">
        <v>408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9.08020201E8</v>
      </c>
      <c r="C4" s="9" t="s">
        <v>13</v>
      </c>
      <c r="D4" s="10">
        <v>2.7488976E7</v>
      </c>
      <c r="E4" s="7">
        <v>1.0</v>
      </c>
      <c r="F4" s="11"/>
      <c r="G4" s="12">
        <f t="shared" si="1"/>
        <v>1</v>
      </c>
      <c r="H4" s="13">
        <v>45873.0</v>
      </c>
      <c r="I4" s="14" t="s">
        <v>14</v>
      </c>
      <c r="J4" s="15"/>
      <c r="K4" s="7"/>
      <c r="L4" s="9"/>
    </row>
    <row r="5">
      <c r="A5" s="7">
        <v>3.0</v>
      </c>
      <c r="B5" s="8">
        <v>9.0820203E8</v>
      </c>
      <c r="C5" s="9" t="s">
        <v>19</v>
      </c>
      <c r="D5" s="10">
        <v>2.7488976E7</v>
      </c>
      <c r="E5" s="7">
        <v>5.0</v>
      </c>
      <c r="F5" s="11">
        <v>2.0</v>
      </c>
      <c r="G5" s="12">
        <f t="shared" si="1"/>
        <v>3</v>
      </c>
      <c r="H5" s="13">
        <v>45873.0</v>
      </c>
      <c r="I5" s="14" t="s">
        <v>14</v>
      </c>
      <c r="J5" s="13">
        <v>45882.0</v>
      </c>
      <c r="K5" s="7" t="s">
        <v>408</v>
      </c>
      <c r="L5" s="9"/>
    </row>
    <row r="6">
      <c r="A6" s="7">
        <v>4.0</v>
      </c>
      <c r="B6" s="8">
        <v>9.0812201E8</v>
      </c>
      <c r="C6" s="9" t="s">
        <v>80</v>
      </c>
      <c r="D6" s="10">
        <v>2.7488976E7</v>
      </c>
      <c r="E6" s="7">
        <v>4.0</v>
      </c>
      <c r="F6" s="11">
        <v>4.0</v>
      </c>
      <c r="G6" s="12">
        <f t="shared" si="1"/>
        <v>0</v>
      </c>
      <c r="H6" s="13">
        <v>45873.0</v>
      </c>
      <c r="I6" s="14" t="s">
        <v>14</v>
      </c>
      <c r="J6" s="13">
        <v>45882.0</v>
      </c>
      <c r="K6" s="7" t="s">
        <v>408</v>
      </c>
      <c r="L6" s="9"/>
    </row>
    <row r="7">
      <c r="A7" s="7">
        <v>5.0</v>
      </c>
      <c r="B7" s="8">
        <v>9.08371003E8</v>
      </c>
      <c r="C7" s="20" t="s">
        <v>81</v>
      </c>
      <c r="D7" s="10">
        <v>2.7488976E7</v>
      </c>
      <c r="E7" s="7">
        <v>1.0</v>
      </c>
      <c r="F7" s="11">
        <v>1.0</v>
      </c>
      <c r="G7" s="12">
        <f t="shared" si="1"/>
        <v>0</v>
      </c>
      <c r="H7" s="13">
        <v>45873.0</v>
      </c>
      <c r="I7" s="14" t="s">
        <v>14</v>
      </c>
      <c r="J7" s="13">
        <v>45882.0</v>
      </c>
      <c r="K7" s="7" t="s">
        <v>408</v>
      </c>
      <c r="L7" s="9"/>
    </row>
    <row r="8">
      <c r="A8" s="7">
        <v>6.0</v>
      </c>
      <c r="B8" s="8">
        <v>9.08402208E8</v>
      </c>
      <c r="C8" s="8" t="s">
        <v>111</v>
      </c>
      <c r="D8" s="10">
        <v>2.7488976E7</v>
      </c>
      <c r="E8" s="7">
        <v>1.0</v>
      </c>
      <c r="F8" s="11">
        <v>1.0</v>
      </c>
      <c r="G8" s="12">
        <f t="shared" si="1"/>
        <v>0</v>
      </c>
      <c r="H8" s="13">
        <v>45873.0</v>
      </c>
      <c r="I8" s="14" t="s">
        <v>14</v>
      </c>
      <c r="J8" s="13">
        <v>45882.0</v>
      </c>
      <c r="K8" s="7" t="s">
        <v>408</v>
      </c>
      <c r="L8" s="9"/>
    </row>
    <row r="9">
      <c r="A9" s="7">
        <v>7.0</v>
      </c>
      <c r="B9" s="8">
        <v>9.08202189E8</v>
      </c>
      <c r="C9" s="9" t="s">
        <v>55</v>
      </c>
      <c r="D9" s="10">
        <v>2.7488976E7</v>
      </c>
      <c r="E9" s="7">
        <v>1.0</v>
      </c>
      <c r="F9" s="11">
        <v>1.0</v>
      </c>
      <c r="G9" s="12">
        <f t="shared" si="1"/>
        <v>0</v>
      </c>
      <c r="H9" s="13">
        <v>45873.0</v>
      </c>
      <c r="I9" s="14" t="s">
        <v>14</v>
      </c>
      <c r="J9" s="13">
        <v>45882.0</v>
      </c>
      <c r="K9" s="7" t="s">
        <v>408</v>
      </c>
      <c r="L9" s="9"/>
    </row>
    <row r="10">
      <c r="A10" s="7">
        <v>8.0</v>
      </c>
      <c r="B10" s="19" t="s">
        <v>20</v>
      </c>
      <c r="C10" s="20" t="s">
        <v>21</v>
      </c>
      <c r="D10" s="10">
        <v>2.7488976E7</v>
      </c>
      <c r="E10" s="7">
        <v>1.0</v>
      </c>
      <c r="F10" s="11">
        <v>6.0</v>
      </c>
      <c r="G10" s="12">
        <f t="shared" si="1"/>
        <v>-5</v>
      </c>
      <c r="H10" s="13">
        <v>45873.0</v>
      </c>
      <c r="I10" s="14" t="s">
        <v>14</v>
      </c>
      <c r="J10" s="13">
        <v>45882.0</v>
      </c>
      <c r="K10" s="7" t="s">
        <v>408</v>
      </c>
      <c r="L10" s="9"/>
    </row>
    <row r="11">
      <c r="A11" s="7">
        <v>9.0</v>
      </c>
      <c r="B11" s="8">
        <v>9.08111101E8</v>
      </c>
      <c r="C11" s="9" t="s">
        <v>24</v>
      </c>
      <c r="D11" s="10">
        <v>2.7488976E7</v>
      </c>
      <c r="E11" s="7">
        <v>3.0</v>
      </c>
      <c r="F11" s="11">
        <v>2.0</v>
      </c>
      <c r="G11" s="12">
        <f t="shared" si="1"/>
        <v>1</v>
      </c>
      <c r="H11" s="13">
        <v>45873.0</v>
      </c>
      <c r="I11" s="14" t="s">
        <v>14</v>
      </c>
      <c r="J11" s="13">
        <v>45882.0</v>
      </c>
      <c r="K11" s="7" t="s">
        <v>408</v>
      </c>
      <c r="L11" s="9"/>
    </row>
    <row r="12">
      <c r="A12" s="7">
        <v>10.0</v>
      </c>
      <c r="B12" s="8" t="s">
        <v>25</v>
      </c>
      <c r="C12" s="9" t="s">
        <v>26</v>
      </c>
      <c r="D12" s="10">
        <v>2.7488976E7</v>
      </c>
      <c r="E12" s="7">
        <v>8.0</v>
      </c>
      <c r="F12" s="11">
        <v>8.0</v>
      </c>
      <c r="G12" s="12">
        <f t="shared" si="1"/>
        <v>0</v>
      </c>
      <c r="H12" s="13">
        <v>45873.0</v>
      </c>
      <c r="I12" s="14" t="s">
        <v>14</v>
      </c>
      <c r="J12" s="13">
        <v>45882.0</v>
      </c>
      <c r="K12" s="7" t="s">
        <v>408</v>
      </c>
      <c r="L12" s="9"/>
    </row>
    <row r="13">
      <c r="A13" s="7">
        <v>11.0</v>
      </c>
      <c r="B13" s="8">
        <v>9.08421004E8</v>
      </c>
      <c r="C13" s="9" t="s">
        <v>85</v>
      </c>
      <c r="D13" s="10">
        <v>2.7488976E7</v>
      </c>
      <c r="E13" s="7">
        <v>1.0</v>
      </c>
      <c r="F13" s="11"/>
      <c r="G13" s="12">
        <f t="shared" si="1"/>
        <v>1</v>
      </c>
      <c r="H13" s="13">
        <v>45879.0</v>
      </c>
      <c r="I13" s="14" t="s">
        <v>14</v>
      </c>
      <c r="J13" s="15"/>
      <c r="K13" s="7"/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9.0812201E8</v>
      </c>
      <c r="C3" s="20" t="s">
        <v>80</v>
      </c>
      <c r="D3" s="10">
        <v>2.7522538E7</v>
      </c>
      <c r="E3" s="16">
        <v>16.0</v>
      </c>
      <c r="F3" s="11"/>
      <c r="G3" s="12">
        <f t="shared" ref="G3:G14" si="1">E3-F3</f>
        <v>16</v>
      </c>
      <c r="H3" s="13">
        <v>45873.0</v>
      </c>
      <c r="I3" s="14" t="s">
        <v>14</v>
      </c>
      <c r="J3" s="13"/>
      <c r="K3" s="7"/>
      <c r="L3" s="17"/>
    </row>
    <row r="4">
      <c r="A4" s="7">
        <v>2.0</v>
      </c>
      <c r="B4" s="8">
        <v>9.08121008E8</v>
      </c>
      <c r="C4" s="9" t="s">
        <v>17</v>
      </c>
      <c r="D4" s="10">
        <v>2.7522538E7</v>
      </c>
      <c r="E4" s="16">
        <v>2.0</v>
      </c>
      <c r="F4" s="11">
        <v>2.0</v>
      </c>
      <c r="G4" s="12">
        <f t="shared" si="1"/>
        <v>0</v>
      </c>
      <c r="H4" s="13">
        <v>45873.0</v>
      </c>
      <c r="I4" s="14" t="s">
        <v>14</v>
      </c>
      <c r="J4" s="13">
        <v>45881.0</v>
      </c>
      <c r="K4" s="7" t="s">
        <v>408</v>
      </c>
      <c r="L4" s="17"/>
    </row>
    <row r="5">
      <c r="A5" s="7">
        <v>3.0</v>
      </c>
      <c r="B5" s="8">
        <v>9.0812101E8</v>
      </c>
      <c r="C5" s="9" t="s">
        <v>18</v>
      </c>
      <c r="D5" s="10">
        <v>2.7522538E7</v>
      </c>
      <c r="E5" s="16">
        <v>2.0</v>
      </c>
      <c r="F5" s="11">
        <f>1+1</f>
        <v>2</v>
      </c>
      <c r="G5" s="12">
        <f t="shared" si="1"/>
        <v>0</v>
      </c>
      <c r="H5" s="13">
        <v>45873.0</v>
      </c>
      <c r="I5" s="14" t="s">
        <v>14</v>
      </c>
      <c r="J5" s="13" t="s">
        <v>410</v>
      </c>
      <c r="K5" s="7" t="s">
        <v>408</v>
      </c>
      <c r="L5" s="17"/>
    </row>
    <row r="6">
      <c r="A6" s="7">
        <v>4.0</v>
      </c>
      <c r="B6" s="8">
        <v>9.08020201E8</v>
      </c>
      <c r="C6" s="9" t="s">
        <v>13</v>
      </c>
      <c r="D6" s="10">
        <v>2.7522538E7</v>
      </c>
      <c r="E6" s="16">
        <v>1.0</v>
      </c>
      <c r="F6" s="11"/>
      <c r="G6" s="12">
        <f t="shared" si="1"/>
        <v>1</v>
      </c>
      <c r="H6" s="13">
        <v>45873.0</v>
      </c>
      <c r="I6" s="14" t="s">
        <v>14</v>
      </c>
      <c r="J6" s="13"/>
      <c r="K6" s="7"/>
      <c r="L6" s="17"/>
    </row>
    <row r="7">
      <c r="A7" s="7">
        <v>5.0</v>
      </c>
      <c r="B7" s="8"/>
      <c r="C7" s="9" t="s">
        <v>23</v>
      </c>
      <c r="D7" s="10">
        <v>2.7522538E7</v>
      </c>
      <c r="E7" s="16">
        <v>3.0</v>
      </c>
      <c r="F7" s="11">
        <v>3.0</v>
      </c>
      <c r="G7" s="12">
        <f t="shared" si="1"/>
        <v>0</v>
      </c>
      <c r="H7" s="13">
        <v>45873.0</v>
      </c>
      <c r="I7" s="14" t="s">
        <v>14</v>
      </c>
      <c r="J7" s="13">
        <v>45887.0</v>
      </c>
      <c r="K7" s="7" t="s">
        <v>408</v>
      </c>
      <c r="L7" s="17"/>
    </row>
    <row r="8">
      <c r="A8" s="7">
        <v>6.0</v>
      </c>
      <c r="B8" s="8">
        <v>9.08111101E8</v>
      </c>
      <c r="C8" s="9" t="s">
        <v>24</v>
      </c>
      <c r="D8" s="10">
        <v>2.7522538E7</v>
      </c>
      <c r="E8" s="16">
        <v>6.0</v>
      </c>
      <c r="F8" s="11">
        <v>6.0</v>
      </c>
      <c r="G8" s="12">
        <f t="shared" si="1"/>
        <v>0</v>
      </c>
      <c r="H8" s="13">
        <v>45876.0</v>
      </c>
      <c r="I8" s="14" t="s">
        <v>14</v>
      </c>
      <c r="J8" s="13">
        <v>45881.0</v>
      </c>
      <c r="K8" s="7" t="s">
        <v>408</v>
      </c>
      <c r="L8" s="17"/>
    </row>
    <row r="9">
      <c r="A9" s="7">
        <v>7.0</v>
      </c>
      <c r="B9" s="8">
        <v>9.0820203E8</v>
      </c>
      <c r="C9" s="9" t="s">
        <v>363</v>
      </c>
      <c r="D9" s="10">
        <v>2.7522538E7</v>
      </c>
      <c r="E9" s="16">
        <v>2.0</v>
      </c>
      <c r="F9" s="11">
        <v>2.0</v>
      </c>
      <c r="G9" s="12">
        <f t="shared" si="1"/>
        <v>0</v>
      </c>
      <c r="H9" s="13">
        <v>45873.0</v>
      </c>
      <c r="I9" s="14" t="s">
        <v>14</v>
      </c>
      <c r="J9" s="13">
        <v>45881.0</v>
      </c>
      <c r="K9" s="7" t="s">
        <v>408</v>
      </c>
      <c r="L9" s="17"/>
    </row>
    <row r="10">
      <c r="A10" s="7">
        <v>8.0</v>
      </c>
      <c r="B10" s="19" t="s">
        <v>103</v>
      </c>
      <c r="C10" s="20" t="s">
        <v>104</v>
      </c>
      <c r="D10" s="10">
        <v>2.7522538E7</v>
      </c>
      <c r="E10" s="16">
        <v>1.0</v>
      </c>
      <c r="F10" s="11">
        <v>6.0</v>
      </c>
      <c r="G10" s="12">
        <f t="shared" si="1"/>
        <v>-5</v>
      </c>
      <c r="H10" s="13">
        <v>45873.0</v>
      </c>
      <c r="I10" s="14" t="s">
        <v>14</v>
      </c>
      <c r="J10" s="13">
        <v>45881.0</v>
      </c>
      <c r="K10" s="7" t="s">
        <v>408</v>
      </c>
      <c r="L10" s="17"/>
    </row>
    <row r="11">
      <c r="A11" s="7">
        <v>9.0</v>
      </c>
      <c r="B11" s="19">
        <v>9.08202098E8</v>
      </c>
      <c r="C11" s="20" t="s">
        <v>22</v>
      </c>
      <c r="D11" s="10">
        <v>2.7522538E7</v>
      </c>
      <c r="E11" s="16">
        <v>2.0</v>
      </c>
      <c r="F11" s="11">
        <v>2.0</v>
      </c>
      <c r="G11" s="12">
        <f t="shared" si="1"/>
        <v>0</v>
      </c>
      <c r="H11" s="13">
        <v>45873.0</v>
      </c>
      <c r="I11" s="14" t="s">
        <v>14</v>
      </c>
      <c r="J11" s="13">
        <v>45881.0</v>
      </c>
      <c r="K11" s="7" t="s">
        <v>408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2.7522538E7</v>
      </c>
      <c r="E12" s="16">
        <v>40.0</v>
      </c>
      <c r="F12" s="11">
        <v>40.0</v>
      </c>
      <c r="G12" s="12">
        <f t="shared" si="1"/>
        <v>0</v>
      </c>
      <c r="H12" s="13">
        <v>45876.0</v>
      </c>
      <c r="I12" s="14" t="s">
        <v>14</v>
      </c>
      <c r="J12" s="13">
        <v>45881.0</v>
      </c>
      <c r="K12" s="7" t="s">
        <v>408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2.7522538E7</v>
      </c>
      <c r="E13" s="16">
        <v>77.0</v>
      </c>
      <c r="F13" s="11">
        <v>77.0</v>
      </c>
      <c r="G13" s="12">
        <f t="shared" si="1"/>
        <v>0</v>
      </c>
      <c r="H13" s="13">
        <v>45876.0</v>
      </c>
      <c r="I13" s="14" t="s">
        <v>14</v>
      </c>
      <c r="J13" s="13">
        <v>45881.0</v>
      </c>
      <c r="K13" s="7" t="s">
        <v>408</v>
      </c>
      <c r="L13" s="17"/>
    </row>
    <row r="14">
      <c r="A14" s="7">
        <v>12.0</v>
      </c>
      <c r="B14" s="8" t="s">
        <v>20</v>
      </c>
      <c r="C14" s="9" t="s">
        <v>21</v>
      </c>
      <c r="D14" s="10">
        <v>2.7522538E7</v>
      </c>
      <c r="E14" s="16">
        <v>2.0</v>
      </c>
      <c r="F14" s="11">
        <v>2.0</v>
      </c>
      <c r="G14" s="12">
        <f t="shared" si="1"/>
        <v>0</v>
      </c>
      <c r="H14" s="13">
        <v>45873.0</v>
      </c>
      <c r="I14" s="14" t="s">
        <v>14</v>
      </c>
      <c r="J14" s="13">
        <v>45881.0</v>
      </c>
      <c r="K14" s="7" t="s">
        <v>408</v>
      </c>
      <c r="L14" s="17"/>
    </row>
    <row r="15">
      <c r="A15" s="7"/>
      <c r="B15" s="8"/>
      <c r="C15" s="9"/>
      <c r="D15" s="10"/>
      <c r="E15" s="16"/>
      <c r="F15" s="11"/>
      <c r="G15" s="12"/>
      <c r="H15" s="13"/>
      <c r="I15" s="14"/>
      <c r="J15" s="13"/>
      <c r="K15" s="7"/>
      <c r="L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9.0812201E8</v>
      </c>
      <c r="C3" s="20" t="s">
        <v>80</v>
      </c>
      <c r="D3" s="10">
        <v>2.7522539E7</v>
      </c>
      <c r="E3" s="16">
        <v>16.0</v>
      </c>
      <c r="F3" s="11"/>
      <c r="G3" s="12">
        <f t="shared" ref="G3:G24" si="1">E3-F3</f>
        <v>16</v>
      </c>
      <c r="H3" s="13">
        <v>45873.0</v>
      </c>
      <c r="I3" s="14" t="s">
        <v>14</v>
      </c>
      <c r="J3" s="13"/>
      <c r="K3" s="7"/>
      <c r="L3" s="17"/>
    </row>
    <row r="4">
      <c r="A4" s="7">
        <v>2.0</v>
      </c>
      <c r="B4" s="8">
        <v>9.08121008E8</v>
      </c>
      <c r="C4" s="9" t="s">
        <v>17</v>
      </c>
      <c r="D4" s="10">
        <v>2.7522539E7</v>
      </c>
      <c r="E4" s="16">
        <v>2.0</v>
      </c>
      <c r="F4" s="11">
        <v>2.0</v>
      </c>
      <c r="G4" s="12">
        <f t="shared" si="1"/>
        <v>0</v>
      </c>
      <c r="H4" s="13">
        <v>45873.0</v>
      </c>
      <c r="I4" s="14" t="s">
        <v>14</v>
      </c>
      <c r="J4" s="13">
        <v>45886.0</v>
      </c>
      <c r="K4" s="7" t="s">
        <v>283</v>
      </c>
      <c r="L4" s="17"/>
    </row>
    <row r="5">
      <c r="A5" s="7">
        <v>3.0</v>
      </c>
      <c r="B5" s="8">
        <v>9.0812101E8</v>
      </c>
      <c r="C5" s="9" t="s">
        <v>18</v>
      </c>
      <c r="D5" s="10">
        <v>2.7522539E7</v>
      </c>
      <c r="E5" s="16">
        <v>2.0</v>
      </c>
      <c r="F5" s="11">
        <f>1+1</f>
        <v>2</v>
      </c>
      <c r="G5" s="12">
        <f t="shared" si="1"/>
        <v>0</v>
      </c>
      <c r="H5" s="13">
        <v>45873.0</v>
      </c>
      <c r="I5" s="14" t="s">
        <v>14</v>
      </c>
      <c r="J5" s="13" t="s">
        <v>412</v>
      </c>
      <c r="K5" s="7" t="s">
        <v>283</v>
      </c>
      <c r="L5" s="17"/>
    </row>
    <row r="6">
      <c r="A6" s="7">
        <v>4.0</v>
      </c>
      <c r="B6" s="8">
        <v>9.08020201E8</v>
      </c>
      <c r="C6" s="9" t="s">
        <v>13</v>
      </c>
      <c r="D6" s="10">
        <v>2.7522539E7</v>
      </c>
      <c r="E6" s="16">
        <v>1.0</v>
      </c>
      <c r="F6" s="11"/>
      <c r="G6" s="12">
        <f t="shared" si="1"/>
        <v>1</v>
      </c>
      <c r="H6" s="13">
        <v>45873.0</v>
      </c>
      <c r="I6" s="14" t="s">
        <v>14</v>
      </c>
      <c r="J6" s="13"/>
      <c r="K6" s="7"/>
      <c r="L6" s="17"/>
    </row>
    <row r="7">
      <c r="A7" s="7">
        <v>5.0</v>
      </c>
      <c r="B7" s="8">
        <v>9.08122011E8</v>
      </c>
      <c r="C7" s="9" t="s">
        <v>23</v>
      </c>
      <c r="D7" s="10">
        <v>2.7522539E7</v>
      </c>
      <c r="E7" s="16">
        <v>3.0</v>
      </c>
      <c r="F7" s="11">
        <v>3.0</v>
      </c>
      <c r="G7" s="12">
        <f t="shared" si="1"/>
        <v>0</v>
      </c>
      <c r="H7" s="13">
        <v>45873.0</v>
      </c>
      <c r="I7" s="14" t="s">
        <v>14</v>
      </c>
      <c r="J7" s="13">
        <v>45888.0</v>
      </c>
      <c r="K7" s="7" t="s">
        <v>283</v>
      </c>
      <c r="L7" s="17"/>
    </row>
    <row r="8">
      <c r="A8" s="7">
        <v>6.0</v>
      </c>
      <c r="B8" s="8">
        <v>9.08111101E8</v>
      </c>
      <c r="C8" s="9" t="s">
        <v>24</v>
      </c>
      <c r="D8" s="10">
        <v>2.7522539E7</v>
      </c>
      <c r="E8" s="16">
        <v>6.0</v>
      </c>
      <c r="F8" s="11">
        <v>6.0</v>
      </c>
      <c r="G8" s="12">
        <f t="shared" si="1"/>
        <v>0</v>
      </c>
      <c r="H8" s="13">
        <v>45876.0</v>
      </c>
      <c r="I8" s="14" t="s">
        <v>14</v>
      </c>
      <c r="J8" s="13">
        <v>45886.0</v>
      </c>
      <c r="K8" s="7" t="s">
        <v>283</v>
      </c>
      <c r="L8" s="17"/>
    </row>
    <row r="9">
      <c r="A9" s="7">
        <v>7.0</v>
      </c>
      <c r="B9" s="8">
        <v>9.0820203E8</v>
      </c>
      <c r="C9" s="9" t="s">
        <v>363</v>
      </c>
      <c r="D9" s="10">
        <v>2.7522539E7</v>
      </c>
      <c r="E9" s="16">
        <v>2.0</v>
      </c>
      <c r="F9" s="11">
        <v>2.0</v>
      </c>
      <c r="G9" s="12">
        <f t="shared" si="1"/>
        <v>0</v>
      </c>
      <c r="H9" s="13">
        <v>45873.0</v>
      </c>
      <c r="I9" s="14" t="s">
        <v>14</v>
      </c>
      <c r="J9" s="13">
        <v>45886.0</v>
      </c>
      <c r="K9" s="7" t="s">
        <v>283</v>
      </c>
      <c r="L9" s="17"/>
    </row>
    <row r="10">
      <c r="A10" s="7">
        <v>8.0</v>
      </c>
      <c r="B10" s="19" t="s">
        <v>103</v>
      </c>
      <c r="C10" s="20" t="s">
        <v>104</v>
      </c>
      <c r="D10" s="10">
        <v>2.7522539E7</v>
      </c>
      <c r="E10" s="16">
        <v>1.0</v>
      </c>
      <c r="F10" s="11">
        <v>6.0</v>
      </c>
      <c r="G10" s="12">
        <f t="shared" si="1"/>
        <v>-5</v>
      </c>
      <c r="H10" s="13">
        <v>45873.0</v>
      </c>
      <c r="I10" s="14" t="s">
        <v>14</v>
      </c>
      <c r="J10" s="13">
        <v>45886.0</v>
      </c>
      <c r="K10" s="7" t="s">
        <v>283</v>
      </c>
      <c r="L10" s="17"/>
    </row>
    <row r="11">
      <c r="A11" s="7">
        <v>9.0</v>
      </c>
      <c r="B11" s="19">
        <v>9.08202098E8</v>
      </c>
      <c r="C11" s="20" t="s">
        <v>22</v>
      </c>
      <c r="D11" s="10">
        <v>2.7522539E7</v>
      </c>
      <c r="E11" s="16">
        <v>2.0</v>
      </c>
      <c r="F11" s="11">
        <v>2.0</v>
      </c>
      <c r="G11" s="12">
        <f t="shared" si="1"/>
        <v>0</v>
      </c>
      <c r="H11" s="13">
        <v>45873.0</v>
      </c>
      <c r="I11" s="14" t="s">
        <v>14</v>
      </c>
      <c r="J11" s="13">
        <v>45886.0</v>
      </c>
      <c r="K11" s="7" t="s">
        <v>283</v>
      </c>
      <c r="L11" s="17"/>
    </row>
    <row r="12">
      <c r="A12" s="7">
        <v>10.0</v>
      </c>
      <c r="B12" s="8" t="s">
        <v>25</v>
      </c>
      <c r="C12" s="9" t="s">
        <v>26</v>
      </c>
      <c r="D12" s="10">
        <v>2.7522539E7</v>
      </c>
      <c r="E12" s="16">
        <v>20.0</v>
      </c>
      <c r="F12" s="11">
        <v>20.0</v>
      </c>
      <c r="G12" s="12">
        <f t="shared" si="1"/>
        <v>0</v>
      </c>
      <c r="H12" s="13">
        <v>45876.0</v>
      </c>
      <c r="I12" s="14" t="s">
        <v>14</v>
      </c>
      <c r="J12" s="13">
        <v>45886.0</v>
      </c>
      <c r="K12" s="7" t="s">
        <v>283</v>
      </c>
      <c r="L12" s="17"/>
    </row>
    <row r="13">
      <c r="A13" s="7">
        <v>11.0</v>
      </c>
      <c r="B13" s="8" t="s">
        <v>27</v>
      </c>
      <c r="C13" s="9" t="s">
        <v>28</v>
      </c>
      <c r="D13" s="10">
        <v>2.7522539E7</v>
      </c>
      <c r="E13" s="16">
        <v>54.0</v>
      </c>
      <c r="F13" s="11">
        <v>55.0</v>
      </c>
      <c r="G13" s="12">
        <f t="shared" si="1"/>
        <v>-1</v>
      </c>
      <c r="H13" s="13">
        <v>45876.0</v>
      </c>
      <c r="I13" s="14" t="s">
        <v>14</v>
      </c>
      <c r="J13" s="13">
        <v>45886.0</v>
      </c>
      <c r="K13" s="7" t="s">
        <v>283</v>
      </c>
      <c r="L13" s="17"/>
    </row>
    <row r="14">
      <c r="A14" s="7">
        <v>12.0</v>
      </c>
      <c r="B14" s="19" t="s">
        <v>20</v>
      </c>
      <c r="C14" s="20" t="s">
        <v>21</v>
      </c>
      <c r="D14" s="10">
        <v>2.7522539E7</v>
      </c>
      <c r="E14" s="16">
        <v>2.0</v>
      </c>
      <c r="F14" s="11">
        <v>2.0</v>
      </c>
      <c r="G14" s="12">
        <f t="shared" si="1"/>
        <v>0</v>
      </c>
      <c r="H14" s="13">
        <v>45873.0</v>
      </c>
      <c r="I14" s="14" t="s">
        <v>14</v>
      </c>
      <c r="J14" s="13">
        <v>45886.0</v>
      </c>
      <c r="K14" s="7" t="s">
        <v>283</v>
      </c>
      <c r="L14" s="17"/>
    </row>
    <row r="15">
      <c r="A15" s="7">
        <v>13.0</v>
      </c>
      <c r="B15" s="8">
        <v>9.08421025E8</v>
      </c>
      <c r="C15" s="9" t="s">
        <v>112</v>
      </c>
      <c r="D15" s="10">
        <v>2.7887149E7</v>
      </c>
      <c r="E15" s="7">
        <v>1.0</v>
      </c>
      <c r="F15" s="11">
        <v>1.0</v>
      </c>
      <c r="G15" s="12">
        <f t="shared" si="1"/>
        <v>0</v>
      </c>
      <c r="H15" s="13">
        <v>45944.0</v>
      </c>
      <c r="I15" s="14" t="s">
        <v>14</v>
      </c>
      <c r="J15" s="13">
        <v>45946.0</v>
      </c>
      <c r="K15" s="7" t="s">
        <v>16</v>
      </c>
      <c r="L15" s="17"/>
    </row>
    <row r="16">
      <c r="A16" s="7">
        <v>14.0</v>
      </c>
      <c r="B16" s="8">
        <v>9.08402208E8</v>
      </c>
      <c r="C16" s="9" t="s">
        <v>111</v>
      </c>
      <c r="D16" s="10">
        <v>2.7887149E7</v>
      </c>
      <c r="E16" s="7">
        <v>5.0</v>
      </c>
      <c r="F16" s="11">
        <v>5.0</v>
      </c>
      <c r="G16" s="12">
        <f t="shared" si="1"/>
        <v>0</v>
      </c>
      <c r="H16" s="13">
        <v>45944.0</v>
      </c>
      <c r="I16" s="14" t="s">
        <v>14</v>
      </c>
      <c r="J16" s="13">
        <v>45946.0</v>
      </c>
      <c r="K16" s="7" t="s">
        <v>16</v>
      </c>
      <c r="L16" s="17"/>
    </row>
    <row r="17">
      <c r="A17" s="7">
        <v>15.0</v>
      </c>
      <c r="B17" s="8">
        <v>9.08371012E8</v>
      </c>
      <c r="C17" s="9" t="s">
        <v>150</v>
      </c>
      <c r="D17" s="10">
        <v>2.7887149E7</v>
      </c>
      <c r="E17" s="7">
        <v>5.0</v>
      </c>
      <c r="F17" s="11">
        <v>5.0</v>
      </c>
      <c r="G17" s="12">
        <f t="shared" si="1"/>
        <v>0</v>
      </c>
      <c r="H17" s="13">
        <v>45944.0</v>
      </c>
      <c r="I17" s="14" t="s">
        <v>14</v>
      </c>
      <c r="J17" s="13">
        <v>45946.0</v>
      </c>
      <c r="K17" s="7" t="s">
        <v>16</v>
      </c>
      <c r="L17" s="17"/>
    </row>
    <row r="18">
      <c r="A18" s="7">
        <v>16.0</v>
      </c>
      <c r="B18" s="8">
        <v>9.08111101E8</v>
      </c>
      <c r="C18" s="9" t="s">
        <v>24</v>
      </c>
      <c r="D18" s="10">
        <v>2.7887149E7</v>
      </c>
      <c r="E18" s="7">
        <v>4.0</v>
      </c>
      <c r="F18" s="11">
        <v>6.0</v>
      </c>
      <c r="G18" s="12">
        <f t="shared" si="1"/>
        <v>-2</v>
      </c>
      <c r="H18" s="13">
        <v>45944.0</v>
      </c>
      <c r="I18" s="14" t="s">
        <v>14</v>
      </c>
      <c r="J18" s="13">
        <v>45946.0</v>
      </c>
      <c r="K18" s="7" t="s">
        <v>16</v>
      </c>
      <c r="L18" s="17"/>
    </row>
    <row r="19">
      <c r="A19" s="7">
        <v>17.0</v>
      </c>
      <c r="B19" s="8">
        <v>9.08202189E8</v>
      </c>
      <c r="C19" s="9" t="s">
        <v>55</v>
      </c>
      <c r="D19" s="10">
        <v>2.7887149E7</v>
      </c>
      <c r="E19" s="7">
        <v>2.0</v>
      </c>
      <c r="F19" s="11">
        <v>3.0</v>
      </c>
      <c r="G19" s="12">
        <f t="shared" si="1"/>
        <v>-1</v>
      </c>
      <c r="H19" s="13">
        <v>45944.0</v>
      </c>
      <c r="I19" s="14" t="s">
        <v>14</v>
      </c>
      <c r="J19" s="13">
        <v>45946.0</v>
      </c>
      <c r="K19" s="7" t="s">
        <v>16</v>
      </c>
      <c r="L19" s="17"/>
    </row>
    <row r="20">
      <c r="A20" s="7">
        <v>18.0</v>
      </c>
      <c r="B20" s="8" t="s">
        <v>20</v>
      </c>
      <c r="C20" s="9" t="s">
        <v>21</v>
      </c>
      <c r="D20" s="10">
        <v>2.7887149E7</v>
      </c>
      <c r="E20" s="7">
        <v>2.0</v>
      </c>
      <c r="F20" s="11">
        <v>3.0</v>
      </c>
      <c r="G20" s="12">
        <f t="shared" si="1"/>
        <v>-1</v>
      </c>
      <c r="H20" s="13">
        <v>45944.0</v>
      </c>
      <c r="I20" s="14" t="s">
        <v>14</v>
      </c>
      <c r="J20" s="13">
        <v>45946.0</v>
      </c>
      <c r="K20" s="7" t="s">
        <v>16</v>
      </c>
      <c r="L20" s="17"/>
    </row>
    <row r="21" ht="15.75" customHeight="1">
      <c r="A21" s="7">
        <v>19.0</v>
      </c>
      <c r="B21" s="8">
        <v>9.08020201E8</v>
      </c>
      <c r="C21" s="9" t="s">
        <v>13</v>
      </c>
      <c r="D21" s="10">
        <v>2.7887149E7</v>
      </c>
      <c r="E21" s="7">
        <v>1.0</v>
      </c>
      <c r="F21" s="11"/>
      <c r="G21" s="12">
        <f t="shared" si="1"/>
        <v>1</v>
      </c>
      <c r="H21" s="13">
        <v>45944.0</v>
      </c>
      <c r="I21" s="14" t="s">
        <v>14</v>
      </c>
      <c r="J21" s="13"/>
      <c r="K21" s="7"/>
      <c r="L21" s="17"/>
    </row>
    <row r="22" ht="15.75" customHeight="1">
      <c r="A22" s="7">
        <v>20.0</v>
      </c>
      <c r="B22" s="8">
        <v>9.0820203E8</v>
      </c>
      <c r="C22" s="9" t="s">
        <v>19</v>
      </c>
      <c r="D22" s="10">
        <v>2.7887149E7</v>
      </c>
      <c r="E22" s="7">
        <v>6.0</v>
      </c>
      <c r="F22" s="11"/>
      <c r="G22" s="12">
        <f t="shared" si="1"/>
        <v>6</v>
      </c>
      <c r="H22" s="13">
        <v>45944.0</v>
      </c>
      <c r="I22" s="14" t="s">
        <v>14</v>
      </c>
      <c r="J22" s="13"/>
      <c r="K22" s="7"/>
      <c r="L22" s="17"/>
    </row>
    <row r="23" ht="15.75" customHeight="1">
      <c r="A23" s="7">
        <v>21.0</v>
      </c>
      <c r="B23" s="8">
        <v>9.08122003E8</v>
      </c>
      <c r="C23" s="9" t="s">
        <v>368</v>
      </c>
      <c r="D23" s="10">
        <v>2.7887149E7</v>
      </c>
      <c r="E23" s="7">
        <v>16.0</v>
      </c>
      <c r="F23" s="11"/>
      <c r="G23" s="12">
        <f t="shared" si="1"/>
        <v>16</v>
      </c>
      <c r="H23" s="13">
        <v>45944.0</v>
      </c>
      <c r="I23" s="14" t="s">
        <v>14</v>
      </c>
      <c r="J23" s="13"/>
      <c r="K23" s="7"/>
      <c r="L23" s="17"/>
    </row>
    <row r="24" ht="15.75" customHeight="1">
      <c r="A24" s="7">
        <v>22.0</v>
      </c>
      <c r="B24" s="8">
        <v>9.08421031E8</v>
      </c>
      <c r="C24" s="9" t="s">
        <v>122</v>
      </c>
      <c r="D24" s="10">
        <v>2.7887149E7</v>
      </c>
      <c r="E24" s="7">
        <v>2.0</v>
      </c>
      <c r="F24" s="11">
        <v>2.0</v>
      </c>
      <c r="G24" s="12">
        <f t="shared" si="1"/>
        <v>0</v>
      </c>
      <c r="H24" s="13">
        <v>45944.0</v>
      </c>
      <c r="I24" s="14" t="s">
        <v>14</v>
      </c>
      <c r="J24" s="13">
        <v>45946.0</v>
      </c>
      <c r="K24" s="7" t="s">
        <v>16</v>
      </c>
      <c r="L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9.0812201E8</v>
      </c>
      <c r="C3" s="20" t="s">
        <v>80</v>
      </c>
      <c r="D3" s="10">
        <v>2.7522882E7</v>
      </c>
      <c r="E3" s="16">
        <v>12.0</v>
      </c>
      <c r="F3" s="11"/>
      <c r="G3" s="12">
        <f t="shared" ref="G3:G20" si="1">E3-F3</f>
        <v>12</v>
      </c>
      <c r="H3" s="13">
        <v>45873.0</v>
      </c>
      <c r="I3" s="14" t="s">
        <v>14</v>
      </c>
      <c r="J3" s="13"/>
      <c r="K3" s="7"/>
      <c r="L3" s="17"/>
    </row>
    <row r="4">
      <c r="A4" s="7">
        <v>2.0</v>
      </c>
      <c r="B4" s="8">
        <v>9.08121008E8</v>
      </c>
      <c r="C4" s="20" t="s">
        <v>17</v>
      </c>
      <c r="D4" s="10">
        <v>2.7522882E7</v>
      </c>
      <c r="E4" s="16">
        <v>3.0</v>
      </c>
      <c r="F4" s="11">
        <v>3.0</v>
      </c>
      <c r="G4" s="12">
        <f t="shared" si="1"/>
        <v>0</v>
      </c>
      <c r="H4" s="13">
        <v>45873.0</v>
      </c>
      <c r="I4" s="14" t="s">
        <v>14</v>
      </c>
      <c r="J4" s="13">
        <v>45885.0</v>
      </c>
      <c r="K4" s="7" t="s">
        <v>283</v>
      </c>
      <c r="L4" s="17"/>
    </row>
    <row r="5" ht="35.25" customHeight="1">
      <c r="A5" s="7">
        <v>3.0</v>
      </c>
      <c r="B5" s="8">
        <v>9.0812101E8</v>
      </c>
      <c r="C5" s="20" t="s">
        <v>18</v>
      </c>
      <c r="D5" s="10">
        <v>2.7522882E7</v>
      </c>
      <c r="E5" s="16">
        <v>2.0</v>
      </c>
      <c r="F5" s="11">
        <f>1+1</f>
        <v>2</v>
      </c>
      <c r="G5" s="12">
        <f t="shared" si="1"/>
        <v>0</v>
      </c>
      <c r="H5" s="13">
        <v>45873.0</v>
      </c>
      <c r="I5" s="14" t="s">
        <v>14</v>
      </c>
      <c r="J5" s="13" t="s">
        <v>414</v>
      </c>
      <c r="K5" s="7" t="s">
        <v>283</v>
      </c>
      <c r="L5" s="17"/>
    </row>
    <row r="6">
      <c r="A6" s="7">
        <v>4.0</v>
      </c>
      <c r="B6" s="8">
        <v>9.08020201E8</v>
      </c>
      <c r="C6" s="20" t="s">
        <v>13</v>
      </c>
      <c r="D6" s="10">
        <v>2.7522882E7</v>
      </c>
      <c r="E6" s="16">
        <v>1.0</v>
      </c>
      <c r="F6" s="11"/>
      <c r="G6" s="12">
        <f t="shared" si="1"/>
        <v>1</v>
      </c>
      <c r="H6" s="13">
        <v>45873.0</v>
      </c>
      <c r="I6" s="14" t="s">
        <v>14</v>
      </c>
      <c r="J6" s="13"/>
      <c r="K6" s="7"/>
      <c r="L6" s="17"/>
    </row>
    <row r="7">
      <c r="A7" s="7">
        <v>5.0</v>
      </c>
      <c r="B7" s="8">
        <v>9.08122011E8</v>
      </c>
      <c r="C7" s="20" t="s">
        <v>23</v>
      </c>
      <c r="D7" s="10">
        <v>2.7522882E7</v>
      </c>
      <c r="E7" s="16">
        <v>3.0</v>
      </c>
      <c r="F7" s="11">
        <v>3.0</v>
      </c>
      <c r="G7" s="12">
        <f t="shared" si="1"/>
        <v>0</v>
      </c>
      <c r="H7" s="13">
        <v>45873.0</v>
      </c>
      <c r="I7" s="14" t="s">
        <v>14</v>
      </c>
      <c r="J7" s="13">
        <v>45896.0</v>
      </c>
      <c r="K7" s="7" t="s">
        <v>283</v>
      </c>
      <c r="L7" s="17"/>
    </row>
    <row r="8">
      <c r="A8" s="7">
        <v>6.0</v>
      </c>
      <c r="B8" s="8">
        <v>9.08111101E8</v>
      </c>
      <c r="C8" s="20" t="s">
        <v>24</v>
      </c>
      <c r="D8" s="10">
        <v>2.7522882E7</v>
      </c>
      <c r="E8" s="16">
        <v>6.0</v>
      </c>
      <c r="F8" s="11">
        <v>6.0</v>
      </c>
      <c r="G8" s="12">
        <f t="shared" si="1"/>
        <v>0</v>
      </c>
      <c r="H8" s="13">
        <v>45876.0</v>
      </c>
      <c r="I8" s="14" t="s">
        <v>14</v>
      </c>
      <c r="J8" s="13">
        <v>45885.0</v>
      </c>
      <c r="K8" s="7" t="s">
        <v>283</v>
      </c>
      <c r="L8" s="17"/>
    </row>
    <row r="9">
      <c r="A9" s="7">
        <v>7.0</v>
      </c>
      <c r="B9" s="8">
        <v>9.0820203E8</v>
      </c>
      <c r="C9" s="20" t="s">
        <v>363</v>
      </c>
      <c r="D9" s="10">
        <v>2.7522882E7</v>
      </c>
      <c r="E9" s="16">
        <v>2.0</v>
      </c>
      <c r="F9" s="11">
        <v>2.0</v>
      </c>
      <c r="G9" s="12">
        <f t="shared" si="1"/>
        <v>0</v>
      </c>
      <c r="H9" s="13">
        <v>45873.0</v>
      </c>
      <c r="I9" s="14" t="s">
        <v>14</v>
      </c>
      <c r="J9" s="13">
        <v>45885.0</v>
      </c>
      <c r="K9" s="7" t="s">
        <v>283</v>
      </c>
      <c r="L9" s="17"/>
    </row>
    <row r="10">
      <c r="A10" s="7">
        <v>8.0</v>
      </c>
      <c r="B10" s="8" t="s">
        <v>103</v>
      </c>
      <c r="C10" s="20" t="s">
        <v>104</v>
      </c>
      <c r="D10" s="10">
        <v>2.7522882E7</v>
      </c>
      <c r="E10" s="16">
        <v>1.0</v>
      </c>
      <c r="F10" s="11">
        <v>6.0</v>
      </c>
      <c r="G10" s="12">
        <f t="shared" si="1"/>
        <v>-5</v>
      </c>
      <c r="H10" s="13">
        <v>45873.0</v>
      </c>
      <c r="I10" s="14" t="s">
        <v>14</v>
      </c>
      <c r="J10" s="13">
        <v>45885.0</v>
      </c>
      <c r="K10" s="7" t="s">
        <v>283</v>
      </c>
      <c r="L10" s="17"/>
    </row>
    <row r="11">
      <c r="A11" s="7">
        <v>9.0</v>
      </c>
      <c r="B11" s="8">
        <v>9.08202098E8</v>
      </c>
      <c r="C11" s="20" t="s">
        <v>22</v>
      </c>
      <c r="D11" s="10">
        <v>2.7522882E7</v>
      </c>
      <c r="E11" s="16">
        <v>2.0</v>
      </c>
      <c r="F11" s="11">
        <v>2.0</v>
      </c>
      <c r="G11" s="12">
        <f t="shared" si="1"/>
        <v>0</v>
      </c>
      <c r="H11" s="13">
        <v>45873.0</v>
      </c>
      <c r="I11" s="14" t="s">
        <v>14</v>
      </c>
      <c r="J11" s="13">
        <v>45885.0</v>
      </c>
      <c r="K11" s="7" t="s">
        <v>283</v>
      </c>
      <c r="L11" s="17"/>
    </row>
    <row r="12">
      <c r="A12" s="7">
        <v>10.0</v>
      </c>
      <c r="B12" s="8" t="s">
        <v>25</v>
      </c>
      <c r="C12" s="20" t="s">
        <v>26</v>
      </c>
      <c r="D12" s="10">
        <v>2.7522882E7</v>
      </c>
      <c r="E12" s="16">
        <v>59.0</v>
      </c>
      <c r="F12" s="11">
        <v>59.0</v>
      </c>
      <c r="G12" s="12">
        <f t="shared" si="1"/>
        <v>0</v>
      </c>
      <c r="H12" s="13">
        <v>45876.0</v>
      </c>
      <c r="I12" s="14" t="s">
        <v>14</v>
      </c>
      <c r="J12" s="13">
        <v>45885.0</v>
      </c>
      <c r="K12" s="7" t="s">
        <v>283</v>
      </c>
      <c r="L12" s="17"/>
    </row>
    <row r="13">
      <c r="A13" s="7">
        <v>11.0</v>
      </c>
      <c r="B13" s="8" t="s">
        <v>27</v>
      </c>
      <c r="C13" s="20" t="s">
        <v>28</v>
      </c>
      <c r="D13" s="10">
        <v>2.7522882E7</v>
      </c>
      <c r="E13" s="16">
        <v>30.0</v>
      </c>
      <c r="F13" s="11">
        <v>30.0</v>
      </c>
      <c r="G13" s="12">
        <f t="shared" si="1"/>
        <v>0</v>
      </c>
      <c r="H13" s="13">
        <v>45876.0</v>
      </c>
      <c r="I13" s="14" t="s">
        <v>14</v>
      </c>
      <c r="J13" s="13">
        <v>45885.0</v>
      </c>
      <c r="K13" s="7" t="s">
        <v>283</v>
      </c>
      <c r="L13" s="17"/>
    </row>
    <row r="14">
      <c r="A14" s="7">
        <v>12.0</v>
      </c>
      <c r="B14" s="8" t="s">
        <v>20</v>
      </c>
      <c r="C14" s="20" t="s">
        <v>21</v>
      </c>
      <c r="D14" s="10">
        <v>2.7522882E7</v>
      </c>
      <c r="E14" s="16">
        <v>2.0</v>
      </c>
      <c r="F14" s="11">
        <v>2.0</v>
      </c>
      <c r="G14" s="12">
        <f t="shared" si="1"/>
        <v>0</v>
      </c>
      <c r="H14" s="13">
        <v>45873.0</v>
      </c>
      <c r="I14" s="14" t="s">
        <v>14</v>
      </c>
      <c r="J14" s="13">
        <v>45885.0</v>
      </c>
      <c r="K14" s="7" t="s">
        <v>283</v>
      </c>
      <c r="L14" s="17"/>
    </row>
    <row r="15">
      <c r="A15" s="7">
        <v>13.0</v>
      </c>
      <c r="B15" s="8">
        <v>9.08421025E8</v>
      </c>
      <c r="C15" s="20" t="s">
        <v>112</v>
      </c>
      <c r="D15" s="10">
        <v>2.7892778E7</v>
      </c>
      <c r="E15" s="16">
        <v>3.0</v>
      </c>
      <c r="F15" s="11">
        <v>3.0</v>
      </c>
      <c r="G15" s="12">
        <f t="shared" si="1"/>
        <v>0</v>
      </c>
      <c r="H15" s="13">
        <v>45946.0</v>
      </c>
      <c r="I15" s="14" t="s">
        <v>14</v>
      </c>
      <c r="J15" s="13">
        <v>45947.0</v>
      </c>
      <c r="K15" s="7" t="s">
        <v>16</v>
      </c>
      <c r="L15" s="17"/>
    </row>
    <row r="16">
      <c r="A16" s="7">
        <v>14.0</v>
      </c>
      <c r="B16" s="8">
        <v>9.08402208E8</v>
      </c>
      <c r="C16" s="20" t="s">
        <v>111</v>
      </c>
      <c r="D16" s="10">
        <v>2.7892778E7</v>
      </c>
      <c r="E16" s="16">
        <v>3.0</v>
      </c>
      <c r="F16" s="11">
        <v>3.0</v>
      </c>
      <c r="G16" s="12">
        <f t="shared" si="1"/>
        <v>0</v>
      </c>
      <c r="H16" s="13">
        <v>45946.0</v>
      </c>
      <c r="I16" s="14" t="s">
        <v>14</v>
      </c>
      <c r="J16" s="13">
        <v>45947.0</v>
      </c>
      <c r="K16" s="7" t="s">
        <v>16</v>
      </c>
      <c r="L16" s="17"/>
    </row>
    <row r="17">
      <c r="A17" s="7">
        <v>15.0</v>
      </c>
      <c r="B17" s="8">
        <v>9.08371014E8</v>
      </c>
      <c r="C17" s="20" t="s">
        <v>113</v>
      </c>
      <c r="D17" s="10">
        <v>2.7892778E7</v>
      </c>
      <c r="E17" s="16">
        <v>3.0</v>
      </c>
      <c r="F17" s="11">
        <v>3.0</v>
      </c>
      <c r="G17" s="12">
        <f t="shared" si="1"/>
        <v>0</v>
      </c>
      <c r="H17" s="13">
        <v>45946.0</v>
      </c>
      <c r="I17" s="14" t="s">
        <v>14</v>
      </c>
      <c r="J17" s="13">
        <v>45947.0</v>
      </c>
      <c r="K17" s="7" t="s">
        <v>16</v>
      </c>
      <c r="L17" s="17"/>
    </row>
    <row r="18">
      <c r="A18" s="7">
        <v>16.0</v>
      </c>
      <c r="B18" s="19" t="s">
        <v>20</v>
      </c>
      <c r="C18" s="20" t="s">
        <v>21</v>
      </c>
      <c r="D18" s="10">
        <v>2.7892778E7</v>
      </c>
      <c r="E18" s="16">
        <v>3.0</v>
      </c>
      <c r="F18" s="11">
        <v>3.0</v>
      </c>
      <c r="G18" s="12">
        <f t="shared" si="1"/>
        <v>0</v>
      </c>
      <c r="H18" s="13">
        <v>45946.0</v>
      </c>
      <c r="I18" s="14" t="s">
        <v>14</v>
      </c>
      <c r="J18" s="13">
        <v>45947.0</v>
      </c>
      <c r="K18" s="7" t="s">
        <v>16</v>
      </c>
      <c r="L18" s="17"/>
    </row>
    <row r="19">
      <c r="A19" s="7">
        <v>17.0</v>
      </c>
      <c r="B19" s="8">
        <v>9.08111101E8</v>
      </c>
      <c r="C19" s="9" t="s">
        <v>24</v>
      </c>
      <c r="D19" s="10">
        <v>2.7892778E7</v>
      </c>
      <c r="E19" s="16">
        <v>6.0</v>
      </c>
      <c r="F19" s="11">
        <v>6.0</v>
      </c>
      <c r="G19" s="12">
        <f t="shared" si="1"/>
        <v>0</v>
      </c>
      <c r="H19" s="13">
        <v>45946.0</v>
      </c>
      <c r="I19" s="14" t="s">
        <v>14</v>
      </c>
      <c r="J19" s="13">
        <v>45947.0</v>
      </c>
      <c r="K19" s="7" t="s">
        <v>16</v>
      </c>
      <c r="L19" s="17"/>
    </row>
    <row r="20">
      <c r="A20" s="7">
        <v>18.0</v>
      </c>
      <c r="B20" s="8">
        <v>9.08202189E8</v>
      </c>
      <c r="C20" s="9" t="s">
        <v>55</v>
      </c>
      <c r="D20" s="10">
        <v>2.7892778E7</v>
      </c>
      <c r="E20" s="16">
        <v>3.0</v>
      </c>
      <c r="F20" s="11">
        <v>3.0</v>
      </c>
      <c r="G20" s="12">
        <f t="shared" si="1"/>
        <v>0</v>
      </c>
      <c r="H20" s="13">
        <v>45946.0</v>
      </c>
      <c r="I20" s="14" t="s">
        <v>14</v>
      </c>
      <c r="J20" s="13">
        <v>45947.0</v>
      </c>
      <c r="K20" s="7" t="s">
        <v>16</v>
      </c>
      <c r="L20" s="17"/>
    </row>
    <row r="21" ht="15.75" customHeight="1">
      <c r="A21" s="7">
        <v>19.0</v>
      </c>
      <c r="B21" s="8">
        <v>9.08020201E8</v>
      </c>
      <c r="C21" s="20" t="s">
        <v>13</v>
      </c>
      <c r="D21" s="10">
        <v>2.7892778E7</v>
      </c>
      <c r="E21" s="16">
        <v>3.0</v>
      </c>
      <c r="F21" s="11"/>
      <c r="G21" s="12">
        <v>3.0</v>
      </c>
      <c r="H21" s="13">
        <v>45946.0</v>
      </c>
      <c r="I21" s="14" t="s">
        <v>14</v>
      </c>
      <c r="J21" s="13"/>
      <c r="K21" s="7"/>
      <c r="L21" s="17"/>
    </row>
    <row r="22" ht="15.75" customHeight="1">
      <c r="A22" s="7"/>
      <c r="B22" s="8"/>
      <c r="C22" s="20"/>
      <c r="D22" s="10"/>
      <c r="E22" s="16"/>
      <c r="F22" s="11"/>
      <c r="G22" s="12"/>
      <c r="H22" s="13"/>
      <c r="I22" s="14"/>
      <c r="J22" s="13"/>
      <c r="K22" s="7"/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415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103</v>
      </c>
      <c r="C3" s="20" t="s">
        <v>104</v>
      </c>
      <c r="D3" s="7">
        <v>2.7501582E7</v>
      </c>
      <c r="E3" s="7">
        <v>1.0</v>
      </c>
      <c r="F3" s="11">
        <v>1.0</v>
      </c>
      <c r="G3" s="12">
        <f t="shared" ref="G3:G25" si="1">E3-F3</f>
        <v>0</v>
      </c>
      <c r="H3" s="13">
        <v>45872.0</v>
      </c>
      <c r="I3" s="14" t="s">
        <v>14</v>
      </c>
      <c r="J3" s="13">
        <v>45874.0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2.7501582E7</v>
      </c>
      <c r="E4" s="7">
        <v>2.0</v>
      </c>
      <c r="F4" s="11">
        <v>2.0</v>
      </c>
      <c r="G4" s="12">
        <f t="shared" si="1"/>
        <v>0</v>
      </c>
      <c r="H4" s="13">
        <v>45872.0</v>
      </c>
      <c r="I4" s="14" t="s">
        <v>14</v>
      </c>
      <c r="J4" s="13">
        <v>45874.0</v>
      </c>
      <c r="K4" s="7" t="s">
        <v>283</v>
      </c>
      <c r="L4" s="9"/>
    </row>
    <row r="5">
      <c r="A5" s="7">
        <v>3.0</v>
      </c>
      <c r="B5" s="8">
        <v>9.08202098E8</v>
      </c>
      <c r="C5" s="9" t="s">
        <v>22</v>
      </c>
      <c r="D5" s="7">
        <v>2.7501582E7</v>
      </c>
      <c r="E5" s="7">
        <v>2.0</v>
      </c>
      <c r="F5" s="11">
        <v>2.0</v>
      </c>
      <c r="G5" s="12">
        <f t="shared" si="1"/>
        <v>0</v>
      </c>
      <c r="H5" s="13">
        <v>45872.0</v>
      </c>
      <c r="I5" s="14" t="s">
        <v>14</v>
      </c>
      <c r="J5" s="13">
        <v>45874.0</v>
      </c>
      <c r="K5" s="7" t="s">
        <v>283</v>
      </c>
      <c r="L5" s="9"/>
    </row>
    <row r="6">
      <c r="A6" s="7">
        <v>4.0</v>
      </c>
      <c r="B6" s="8">
        <v>9.0820203E8</v>
      </c>
      <c r="C6" s="9" t="s">
        <v>19</v>
      </c>
      <c r="D6" s="7">
        <v>2.7501582E7</v>
      </c>
      <c r="E6" s="7">
        <v>2.0</v>
      </c>
      <c r="F6" s="11">
        <v>2.0</v>
      </c>
      <c r="G6" s="12">
        <f t="shared" si="1"/>
        <v>0</v>
      </c>
      <c r="H6" s="13">
        <v>45872.0</v>
      </c>
      <c r="I6" s="14" t="s">
        <v>14</v>
      </c>
      <c r="J6" s="13">
        <v>45874.0</v>
      </c>
      <c r="K6" s="7" t="s">
        <v>283</v>
      </c>
      <c r="L6" s="9"/>
    </row>
    <row r="7">
      <c r="A7" s="7">
        <v>5.0</v>
      </c>
      <c r="B7" s="8">
        <v>9.08121008E8</v>
      </c>
      <c r="C7" s="9" t="s">
        <v>17</v>
      </c>
      <c r="D7" s="7">
        <v>2.7501582E7</v>
      </c>
      <c r="E7" s="7">
        <v>2.0</v>
      </c>
      <c r="F7" s="11">
        <v>2.0</v>
      </c>
      <c r="G7" s="12">
        <f t="shared" si="1"/>
        <v>0</v>
      </c>
      <c r="H7" s="13">
        <v>45872.0</v>
      </c>
      <c r="I7" s="14" t="s">
        <v>14</v>
      </c>
      <c r="J7" s="13">
        <v>45874.0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7">
        <v>2.7501582E7</v>
      </c>
      <c r="E8" s="7">
        <v>2.0</v>
      </c>
      <c r="F8" s="11">
        <f>1+1</f>
        <v>2</v>
      </c>
      <c r="G8" s="12">
        <f t="shared" si="1"/>
        <v>0</v>
      </c>
      <c r="H8" s="13">
        <v>45872.0</v>
      </c>
      <c r="I8" s="14" t="s">
        <v>14</v>
      </c>
      <c r="J8" s="13" t="s">
        <v>416</v>
      </c>
      <c r="K8" s="7" t="s">
        <v>283</v>
      </c>
      <c r="L8" s="9"/>
    </row>
    <row r="9">
      <c r="A9" s="7">
        <v>7.0</v>
      </c>
      <c r="B9" s="8" t="s">
        <v>25</v>
      </c>
      <c r="C9" s="9" t="s">
        <v>26</v>
      </c>
      <c r="D9" s="7">
        <v>2.7501582E7</v>
      </c>
      <c r="E9" s="7">
        <v>57.0</v>
      </c>
      <c r="F9" s="11">
        <v>58.0</v>
      </c>
      <c r="G9" s="12">
        <f t="shared" si="1"/>
        <v>-1</v>
      </c>
      <c r="H9" s="13">
        <v>45873.0</v>
      </c>
      <c r="I9" s="14" t="s">
        <v>14</v>
      </c>
      <c r="J9" s="13">
        <v>45874.0</v>
      </c>
      <c r="K9" s="7" t="s">
        <v>283</v>
      </c>
      <c r="L9" s="9"/>
    </row>
    <row r="10">
      <c r="A10" s="7">
        <v>8.0</v>
      </c>
      <c r="B10" s="8" t="s">
        <v>27</v>
      </c>
      <c r="C10" s="9" t="s">
        <v>28</v>
      </c>
      <c r="D10" s="7">
        <v>2.7501582E7</v>
      </c>
      <c r="E10" s="7">
        <v>27.0</v>
      </c>
      <c r="F10" s="11">
        <v>6.0</v>
      </c>
      <c r="G10" s="12">
        <f t="shared" si="1"/>
        <v>21</v>
      </c>
      <c r="H10" s="13">
        <v>45869.0</v>
      </c>
      <c r="I10" s="14" t="s">
        <v>14</v>
      </c>
      <c r="J10" s="13">
        <v>45874.0</v>
      </c>
      <c r="K10" s="7" t="s">
        <v>283</v>
      </c>
      <c r="L10" s="9" t="s">
        <v>341</v>
      </c>
    </row>
    <row r="11">
      <c r="A11" s="7">
        <v>9.0</v>
      </c>
      <c r="B11" s="8">
        <v>9.08111101E8</v>
      </c>
      <c r="C11" s="9" t="s">
        <v>24</v>
      </c>
      <c r="D11" s="7">
        <v>2.7501582E7</v>
      </c>
      <c r="E11" s="7">
        <v>6.0</v>
      </c>
      <c r="F11" s="11">
        <v>6.0</v>
      </c>
      <c r="G11" s="12">
        <f t="shared" si="1"/>
        <v>0</v>
      </c>
      <c r="H11" s="13">
        <v>45873.0</v>
      </c>
      <c r="I11" s="14" t="s">
        <v>14</v>
      </c>
      <c r="J11" s="13">
        <v>45874.0</v>
      </c>
      <c r="K11" s="7" t="s">
        <v>283</v>
      </c>
      <c r="L11" s="9"/>
    </row>
    <row r="12">
      <c r="A12" s="7">
        <v>10.0</v>
      </c>
      <c r="B12" s="8">
        <v>9.08122011E8</v>
      </c>
      <c r="C12" s="9" t="s">
        <v>417</v>
      </c>
      <c r="D12" s="7">
        <v>2.7501582E7</v>
      </c>
      <c r="E12" s="7">
        <v>3.0</v>
      </c>
      <c r="F12" s="11">
        <v>3.0</v>
      </c>
      <c r="G12" s="12">
        <f t="shared" si="1"/>
        <v>0</v>
      </c>
      <c r="H12" s="13">
        <v>45872.0</v>
      </c>
      <c r="I12" s="14" t="s">
        <v>14</v>
      </c>
      <c r="J12" s="13">
        <v>45880.0</v>
      </c>
      <c r="K12" s="7" t="s">
        <v>283</v>
      </c>
      <c r="L12" s="9"/>
    </row>
    <row r="13">
      <c r="A13" s="7">
        <v>11.0</v>
      </c>
      <c r="B13" s="8">
        <v>9.08020201E8</v>
      </c>
      <c r="C13" s="9" t="s">
        <v>13</v>
      </c>
      <c r="D13" s="7">
        <v>2.7501582E7</v>
      </c>
      <c r="E13" s="7">
        <v>1.0</v>
      </c>
      <c r="F13" s="11"/>
      <c r="G13" s="12">
        <f t="shared" si="1"/>
        <v>1</v>
      </c>
      <c r="H13" s="13">
        <v>45872.0</v>
      </c>
      <c r="I13" s="14" t="s">
        <v>14</v>
      </c>
      <c r="J13" s="13"/>
      <c r="K13" s="7"/>
      <c r="L13" s="9"/>
    </row>
    <row r="14">
      <c r="A14" s="7">
        <v>12.0</v>
      </c>
      <c r="B14" s="8">
        <v>9.08421031E8</v>
      </c>
      <c r="C14" s="9" t="s">
        <v>122</v>
      </c>
      <c r="D14" s="10">
        <v>2.7802021E7</v>
      </c>
      <c r="E14" s="7">
        <v>2.0</v>
      </c>
      <c r="F14" s="11">
        <v>2.0</v>
      </c>
      <c r="G14" s="12">
        <f t="shared" si="1"/>
        <v>0</v>
      </c>
      <c r="H14" s="13">
        <v>45929.0</v>
      </c>
      <c r="I14" s="14" t="s">
        <v>14</v>
      </c>
      <c r="J14" s="13">
        <v>45930.0</v>
      </c>
      <c r="K14" s="7" t="s">
        <v>16</v>
      </c>
      <c r="L14" s="9"/>
    </row>
    <row r="15">
      <c r="A15" s="7">
        <v>13.0</v>
      </c>
      <c r="B15" s="8">
        <v>9.08421025E8</v>
      </c>
      <c r="C15" s="9" t="s">
        <v>112</v>
      </c>
      <c r="D15" s="10">
        <v>2.7802021E7</v>
      </c>
      <c r="E15" s="7">
        <v>1.0</v>
      </c>
      <c r="F15" s="11">
        <v>1.0</v>
      </c>
      <c r="G15" s="12">
        <f t="shared" si="1"/>
        <v>0</v>
      </c>
      <c r="H15" s="13">
        <v>45929.0</v>
      </c>
      <c r="I15" s="14" t="s">
        <v>14</v>
      </c>
      <c r="J15" s="13">
        <v>45930.0</v>
      </c>
      <c r="K15" s="7" t="s">
        <v>16</v>
      </c>
      <c r="L15" s="9"/>
    </row>
    <row r="16">
      <c r="A16" s="7">
        <v>14.0</v>
      </c>
      <c r="B16" s="8">
        <v>9.08402208E8</v>
      </c>
      <c r="C16" s="9" t="s">
        <v>111</v>
      </c>
      <c r="D16" s="10">
        <v>2.7802021E7</v>
      </c>
      <c r="E16" s="7">
        <v>5.0</v>
      </c>
      <c r="F16" s="11">
        <v>5.0</v>
      </c>
      <c r="G16" s="12">
        <f t="shared" si="1"/>
        <v>0</v>
      </c>
      <c r="H16" s="13">
        <v>45929.0</v>
      </c>
      <c r="I16" s="14" t="s">
        <v>14</v>
      </c>
      <c r="J16" s="13">
        <v>45930.0</v>
      </c>
      <c r="K16" s="7" t="s">
        <v>16</v>
      </c>
      <c r="L16" s="9"/>
    </row>
    <row r="17">
      <c r="A17" s="7">
        <v>15.0</v>
      </c>
      <c r="B17" s="8">
        <v>9.08122003E8</v>
      </c>
      <c r="C17" s="9" t="s">
        <v>368</v>
      </c>
      <c r="D17" s="10">
        <v>2.7802021E7</v>
      </c>
      <c r="E17" s="7">
        <v>16.0</v>
      </c>
      <c r="F17" s="11"/>
      <c r="G17" s="12">
        <f t="shared" si="1"/>
        <v>16</v>
      </c>
      <c r="H17" s="13">
        <v>45929.0</v>
      </c>
      <c r="I17" s="14" t="s">
        <v>14</v>
      </c>
      <c r="J17" s="13"/>
      <c r="K17" s="7"/>
      <c r="L17" s="9"/>
    </row>
    <row r="18">
      <c r="A18" s="7">
        <v>16.0</v>
      </c>
      <c r="B18" s="8">
        <v>9.08111101E8</v>
      </c>
      <c r="C18" s="9" t="s">
        <v>24</v>
      </c>
      <c r="D18" s="10">
        <v>2.7802021E7</v>
      </c>
      <c r="E18" s="7">
        <v>4.0</v>
      </c>
      <c r="F18" s="11">
        <v>6.0</v>
      </c>
      <c r="G18" s="12">
        <f t="shared" si="1"/>
        <v>-2</v>
      </c>
      <c r="H18" s="13">
        <v>45929.0</v>
      </c>
      <c r="I18" s="14" t="s">
        <v>14</v>
      </c>
      <c r="J18" s="13">
        <v>45930.0</v>
      </c>
      <c r="K18" s="7" t="s">
        <v>16</v>
      </c>
      <c r="L18" s="9"/>
    </row>
    <row r="19">
      <c r="A19" s="7">
        <v>17.0</v>
      </c>
      <c r="B19" s="8">
        <v>9.0812201E8</v>
      </c>
      <c r="C19" s="9" t="s">
        <v>80</v>
      </c>
      <c r="D19" s="10">
        <v>2.7802021E7</v>
      </c>
      <c r="E19" s="7">
        <v>16.0</v>
      </c>
      <c r="F19" s="11"/>
      <c r="G19" s="12">
        <f t="shared" si="1"/>
        <v>16</v>
      </c>
      <c r="H19" s="13">
        <v>45929.0</v>
      </c>
      <c r="I19" s="14" t="s">
        <v>14</v>
      </c>
      <c r="J19" s="13"/>
      <c r="K19" s="7"/>
      <c r="L19" s="9"/>
    </row>
    <row r="20">
      <c r="A20" s="7">
        <v>18.0</v>
      </c>
      <c r="B20" s="8">
        <v>9.08202189E8</v>
      </c>
      <c r="C20" s="9" t="s">
        <v>55</v>
      </c>
      <c r="D20" s="10">
        <v>2.7802021E7</v>
      </c>
      <c r="E20" s="7">
        <v>2.0</v>
      </c>
      <c r="F20" s="11">
        <v>3.0</v>
      </c>
      <c r="G20" s="12">
        <f t="shared" si="1"/>
        <v>-1</v>
      </c>
      <c r="H20" s="13">
        <v>45929.0</v>
      </c>
      <c r="I20" s="14" t="s">
        <v>14</v>
      </c>
      <c r="J20" s="13">
        <v>45930.0</v>
      </c>
      <c r="K20" s="7" t="s">
        <v>16</v>
      </c>
      <c r="L20" s="9"/>
    </row>
    <row r="21" ht="15.75" customHeight="1">
      <c r="A21" s="7">
        <v>19.0</v>
      </c>
      <c r="B21" s="8" t="s">
        <v>20</v>
      </c>
      <c r="C21" s="9" t="s">
        <v>21</v>
      </c>
      <c r="D21" s="10">
        <v>2.7802021E7</v>
      </c>
      <c r="E21" s="7">
        <v>2.0</v>
      </c>
      <c r="F21" s="11">
        <v>3.0</v>
      </c>
      <c r="G21" s="12">
        <f t="shared" si="1"/>
        <v>-1</v>
      </c>
      <c r="H21" s="13">
        <v>45929.0</v>
      </c>
      <c r="I21" s="14" t="s">
        <v>14</v>
      </c>
      <c r="J21" s="13">
        <v>45930.0</v>
      </c>
      <c r="K21" s="7" t="s">
        <v>16</v>
      </c>
      <c r="L21" s="9"/>
    </row>
    <row r="22" ht="15.75" customHeight="1">
      <c r="A22" s="7">
        <v>20.0</v>
      </c>
      <c r="B22" s="8">
        <v>9.0820203E8</v>
      </c>
      <c r="C22" s="9" t="s">
        <v>19</v>
      </c>
      <c r="D22" s="10">
        <v>2.7802021E7</v>
      </c>
      <c r="E22" s="7">
        <v>6.0</v>
      </c>
      <c r="F22" s="11"/>
      <c r="G22" s="12">
        <f t="shared" si="1"/>
        <v>6</v>
      </c>
      <c r="H22" s="13">
        <v>45929.0</v>
      </c>
      <c r="I22" s="14" t="s">
        <v>14</v>
      </c>
      <c r="J22" s="13"/>
      <c r="K22" s="7"/>
      <c r="L22" s="9"/>
    </row>
    <row r="23" ht="15.75" customHeight="1">
      <c r="A23" s="7">
        <v>21.0</v>
      </c>
      <c r="B23" s="8">
        <v>9.08371012E8</v>
      </c>
      <c r="C23" s="9" t="s">
        <v>150</v>
      </c>
      <c r="D23" s="10">
        <v>2.7802021E7</v>
      </c>
      <c r="E23" s="7">
        <v>2.0</v>
      </c>
      <c r="F23" s="11">
        <v>2.0</v>
      </c>
      <c r="G23" s="12">
        <f t="shared" si="1"/>
        <v>0</v>
      </c>
      <c r="H23" s="13">
        <v>45929.0</v>
      </c>
      <c r="I23" s="14" t="s">
        <v>14</v>
      </c>
      <c r="J23" s="13">
        <v>45930.0</v>
      </c>
      <c r="K23" s="7" t="s">
        <v>16</v>
      </c>
      <c r="L23" s="9"/>
    </row>
    <row r="24" ht="15.75" customHeight="1">
      <c r="A24" s="7">
        <v>22.0</v>
      </c>
      <c r="B24" s="8">
        <v>9.08371001E8</v>
      </c>
      <c r="C24" s="9" t="s">
        <v>91</v>
      </c>
      <c r="D24" s="10">
        <v>2.7802021E7</v>
      </c>
      <c r="E24" s="7">
        <v>3.0</v>
      </c>
      <c r="F24" s="11">
        <v>3.0</v>
      </c>
      <c r="G24" s="12">
        <f t="shared" si="1"/>
        <v>0</v>
      </c>
      <c r="H24" s="13">
        <v>45929.0</v>
      </c>
      <c r="I24" s="14" t="s">
        <v>14</v>
      </c>
      <c r="J24" s="13">
        <v>45930.0</v>
      </c>
      <c r="K24" s="7" t="s">
        <v>16</v>
      </c>
      <c r="L24" s="9"/>
    </row>
    <row r="25" ht="15.75" customHeight="1">
      <c r="A25" s="7">
        <v>23.0</v>
      </c>
      <c r="B25" s="8">
        <v>9.08020201E8</v>
      </c>
      <c r="C25" s="9" t="s">
        <v>13</v>
      </c>
      <c r="D25" s="10">
        <v>2.7802021E7</v>
      </c>
      <c r="E25" s="7">
        <v>1.0</v>
      </c>
      <c r="F25" s="11"/>
      <c r="G25" s="12">
        <f t="shared" si="1"/>
        <v>1</v>
      </c>
      <c r="H25" s="13">
        <v>45929.0</v>
      </c>
      <c r="I25" s="14" t="s">
        <v>14</v>
      </c>
      <c r="J25" s="13"/>
      <c r="K25" s="7"/>
      <c r="L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0" width="30.57"/>
    <col customWidth="1" min="11" max="11" width="32.71"/>
    <col customWidth="1" min="12" max="12" width="41.57"/>
    <col customWidth="1" min="13" max="26" width="8.71"/>
  </cols>
  <sheetData>
    <row r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9.08113004E8</v>
      </c>
      <c r="C3" s="20" t="s">
        <v>70</v>
      </c>
      <c r="D3" s="10">
        <v>2.7003098E7</v>
      </c>
      <c r="E3" s="7">
        <v>8.0</v>
      </c>
      <c r="F3" s="11">
        <v>8.0</v>
      </c>
      <c r="G3" s="12">
        <f t="shared" ref="G3:G32" si="1">E3-F3</f>
        <v>0</v>
      </c>
      <c r="H3" s="13">
        <v>45868.0</v>
      </c>
      <c r="I3" s="14" t="s">
        <v>14</v>
      </c>
      <c r="J3" s="15">
        <v>45875.0</v>
      </c>
      <c r="K3" s="7" t="s">
        <v>419</v>
      </c>
      <c r="L3" s="9"/>
    </row>
    <row r="4">
      <c r="A4" s="7">
        <v>2.0</v>
      </c>
      <c r="B4" s="8">
        <v>9.0812104E8</v>
      </c>
      <c r="C4" s="29" t="s">
        <v>66</v>
      </c>
      <c r="D4" s="10">
        <v>2.7003098E7</v>
      </c>
      <c r="E4" s="7">
        <v>2.0</v>
      </c>
      <c r="F4" s="11">
        <v>2.0</v>
      </c>
      <c r="G4" s="12">
        <f t="shared" si="1"/>
        <v>0</v>
      </c>
      <c r="H4" s="13">
        <v>45868.0</v>
      </c>
      <c r="I4" s="14" t="s">
        <v>14</v>
      </c>
      <c r="J4" s="15">
        <v>45875.0</v>
      </c>
      <c r="K4" s="7" t="s">
        <v>419</v>
      </c>
      <c r="L4" s="9"/>
    </row>
    <row r="5">
      <c r="A5" s="7">
        <v>3.0</v>
      </c>
      <c r="B5" s="8">
        <v>9.08569114E8</v>
      </c>
      <c r="C5" s="9" t="s">
        <v>149</v>
      </c>
      <c r="D5" s="10">
        <v>2.7003098E7</v>
      </c>
      <c r="E5" s="7">
        <v>1.0</v>
      </c>
      <c r="F5" s="11">
        <v>1.0</v>
      </c>
      <c r="G5" s="12">
        <f t="shared" si="1"/>
        <v>0</v>
      </c>
      <c r="H5" s="13">
        <v>45868.0</v>
      </c>
      <c r="I5" s="14" t="s">
        <v>14</v>
      </c>
      <c r="J5" s="15">
        <v>45874.0</v>
      </c>
      <c r="K5" s="7" t="s">
        <v>419</v>
      </c>
      <c r="L5" s="9"/>
    </row>
    <row r="6">
      <c r="A6" s="7">
        <v>4.0</v>
      </c>
      <c r="B6" s="8">
        <v>9.08321012E8</v>
      </c>
      <c r="C6" s="29" t="s">
        <v>380</v>
      </c>
      <c r="D6" s="10">
        <v>2.7003098E7</v>
      </c>
      <c r="E6" s="7">
        <v>1.0</v>
      </c>
      <c r="F6" s="11">
        <v>1.0</v>
      </c>
      <c r="G6" s="12">
        <f t="shared" si="1"/>
        <v>0</v>
      </c>
      <c r="H6" s="13">
        <v>45868.0</v>
      </c>
      <c r="I6" s="14" t="s">
        <v>14</v>
      </c>
      <c r="J6" s="15">
        <v>45874.0</v>
      </c>
      <c r="K6" s="7" t="s">
        <v>419</v>
      </c>
      <c r="L6" s="9"/>
    </row>
    <row r="7">
      <c r="A7" s="7">
        <v>5.0</v>
      </c>
      <c r="B7" s="8">
        <v>9.08111102E8</v>
      </c>
      <c r="C7" s="9" t="s">
        <v>420</v>
      </c>
      <c r="D7" s="10">
        <v>2.7003098E7</v>
      </c>
      <c r="E7" s="7">
        <v>25.0</v>
      </c>
      <c r="F7" s="11">
        <v>25.0</v>
      </c>
      <c r="G7" s="12">
        <f t="shared" si="1"/>
        <v>0</v>
      </c>
      <c r="H7" s="13">
        <v>45868.0</v>
      </c>
      <c r="I7" s="14" t="s">
        <v>14</v>
      </c>
      <c r="J7" s="15">
        <v>45878.0</v>
      </c>
      <c r="K7" s="7" t="s">
        <v>419</v>
      </c>
      <c r="L7" s="9"/>
    </row>
    <row r="8">
      <c r="A8" s="7">
        <v>6.0</v>
      </c>
      <c r="B8" s="8">
        <v>9.08202054E8</v>
      </c>
      <c r="C8" s="9" t="s">
        <v>21</v>
      </c>
      <c r="D8" s="10">
        <v>2.7003098E7</v>
      </c>
      <c r="E8" s="7">
        <v>8.0</v>
      </c>
      <c r="F8" s="11">
        <f>2+4+2</f>
        <v>8</v>
      </c>
      <c r="G8" s="12">
        <f t="shared" si="1"/>
        <v>0</v>
      </c>
      <c r="H8" s="13">
        <v>45868.0</v>
      </c>
      <c r="I8" s="14" t="s">
        <v>14</v>
      </c>
      <c r="J8" s="30" t="s">
        <v>421</v>
      </c>
      <c r="K8" s="7" t="s">
        <v>422</v>
      </c>
      <c r="L8" s="9"/>
    </row>
    <row r="9">
      <c r="A9" s="7">
        <v>7.0</v>
      </c>
      <c r="B9" s="8">
        <v>9.08202189E8</v>
      </c>
      <c r="C9" s="9" t="s">
        <v>423</v>
      </c>
      <c r="D9" s="10">
        <v>2.7003098E7</v>
      </c>
      <c r="E9" s="7">
        <v>8.0</v>
      </c>
      <c r="F9" s="11">
        <v>8.0</v>
      </c>
      <c r="G9" s="12">
        <f t="shared" si="1"/>
        <v>0</v>
      </c>
      <c r="H9" s="13">
        <v>45868.0</v>
      </c>
      <c r="I9" s="14" t="s">
        <v>14</v>
      </c>
      <c r="J9" s="15">
        <v>45878.0</v>
      </c>
      <c r="K9" s="7" t="s">
        <v>419</v>
      </c>
      <c r="L9" s="9"/>
    </row>
    <row r="10">
      <c r="A10" s="7">
        <v>8.0</v>
      </c>
      <c r="B10" s="8">
        <v>9.08122034E8</v>
      </c>
      <c r="C10" s="9" t="s">
        <v>36</v>
      </c>
      <c r="D10" s="10">
        <v>2.7003098E7</v>
      </c>
      <c r="E10" s="7">
        <v>8.0</v>
      </c>
      <c r="F10" s="11">
        <v>6.0</v>
      </c>
      <c r="G10" s="12">
        <f t="shared" si="1"/>
        <v>2</v>
      </c>
      <c r="H10" s="13">
        <v>45868.0</v>
      </c>
      <c r="I10" s="14" t="s">
        <v>14</v>
      </c>
      <c r="J10" s="15">
        <v>45878.0</v>
      </c>
      <c r="K10" s="7" t="s">
        <v>419</v>
      </c>
      <c r="L10" s="9"/>
    </row>
    <row r="11">
      <c r="A11" s="7">
        <v>9.0</v>
      </c>
      <c r="B11" s="8">
        <v>9.08111005E8</v>
      </c>
      <c r="C11" s="9" t="s">
        <v>26</v>
      </c>
      <c r="D11" s="10">
        <v>2.7003098E7</v>
      </c>
      <c r="E11" s="7">
        <v>46.0</v>
      </c>
      <c r="F11" s="11">
        <v>46.0</v>
      </c>
      <c r="G11" s="12">
        <f t="shared" si="1"/>
        <v>0</v>
      </c>
      <c r="H11" s="13">
        <v>45868.0</v>
      </c>
      <c r="I11" s="14" t="s">
        <v>14</v>
      </c>
      <c r="J11" s="15">
        <v>45876.0</v>
      </c>
      <c r="K11" s="7" t="s">
        <v>419</v>
      </c>
      <c r="L11" s="9"/>
    </row>
    <row r="12">
      <c r="A12" s="7">
        <v>10.0</v>
      </c>
      <c r="B12" s="8">
        <v>9.08111007E8</v>
      </c>
      <c r="C12" s="9" t="s">
        <v>28</v>
      </c>
      <c r="D12" s="10">
        <v>2.7003098E7</v>
      </c>
      <c r="E12" s="7">
        <v>282.0</v>
      </c>
      <c r="F12" s="11">
        <v>239.0</v>
      </c>
      <c r="G12" s="12">
        <f t="shared" si="1"/>
        <v>43</v>
      </c>
      <c r="H12" s="13">
        <v>45885.0</v>
      </c>
      <c r="I12" s="14" t="s">
        <v>14</v>
      </c>
      <c r="J12" s="15">
        <v>45876.0</v>
      </c>
      <c r="K12" s="7" t="s">
        <v>419</v>
      </c>
      <c r="L12" s="9"/>
    </row>
    <row r="13" ht="35.25" customHeight="1">
      <c r="A13" s="7">
        <v>11.0</v>
      </c>
      <c r="B13" s="8">
        <v>9.08114004E8</v>
      </c>
      <c r="C13" s="9" t="s">
        <v>69</v>
      </c>
      <c r="D13" s="10">
        <v>2.7003098E7</v>
      </c>
      <c r="E13" s="7">
        <v>190.0</v>
      </c>
      <c r="F13" s="11">
        <v>206.0</v>
      </c>
      <c r="G13" s="12">
        <f t="shared" si="1"/>
        <v>-16</v>
      </c>
      <c r="H13" s="13">
        <v>45868.0</v>
      </c>
      <c r="I13" s="14" t="s">
        <v>14</v>
      </c>
      <c r="J13" s="15">
        <v>45878.0</v>
      </c>
      <c r="K13" s="7" t="s">
        <v>419</v>
      </c>
      <c r="L13" s="92"/>
    </row>
    <row r="14">
      <c r="A14" s="7">
        <v>12.0</v>
      </c>
      <c r="B14" s="8">
        <v>9.08121008E8</v>
      </c>
      <c r="C14" s="9" t="s">
        <v>17</v>
      </c>
      <c r="D14" s="10">
        <v>2.7003098E7</v>
      </c>
      <c r="E14" s="7">
        <v>2.0</v>
      </c>
      <c r="F14" s="11">
        <v>2.0</v>
      </c>
      <c r="G14" s="12">
        <f t="shared" si="1"/>
        <v>0</v>
      </c>
      <c r="H14" s="13">
        <v>45868.0</v>
      </c>
      <c r="I14" s="14" t="s">
        <v>14</v>
      </c>
      <c r="J14" s="15">
        <v>45877.0</v>
      </c>
      <c r="K14" s="7" t="s">
        <v>419</v>
      </c>
      <c r="L14" s="9"/>
    </row>
    <row r="15">
      <c r="A15" s="7">
        <v>13.0</v>
      </c>
      <c r="B15" s="8">
        <v>9.0812101E8</v>
      </c>
      <c r="C15" s="9" t="s">
        <v>18</v>
      </c>
      <c r="D15" s="10">
        <v>2.7003098E7</v>
      </c>
      <c r="E15" s="7">
        <v>4.0</v>
      </c>
      <c r="F15" s="11">
        <f>2+2</f>
        <v>4</v>
      </c>
      <c r="G15" s="12">
        <f t="shared" si="1"/>
        <v>0</v>
      </c>
      <c r="H15" s="13">
        <v>45868.0</v>
      </c>
      <c r="I15" s="14" t="s">
        <v>14</v>
      </c>
      <c r="J15" s="30" t="s">
        <v>424</v>
      </c>
      <c r="K15" s="7" t="s">
        <v>422</v>
      </c>
      <c r="L15" s="9"/>
    </row>
    <row r="16">
      <c r="A16" s="7">
        <v>14.0</v>
      </c>
      <c r="B16" s="8">
        <v>9.08121144E8</v>
      </c>
      <c r="C16" s="9" t="s">
        <v>425</v>
      </c>
      <c r="D16" s="10">
        <v>2.7003098E7</v>
      </c>
      <c r="E16" s="7">
        <v>2.0</v>
      </c>
      <c r="F16" s="11">
        <v>2.0</v>
      </c>
      <c r="G16" s="12">
        <f t="shared" si="1"/>
        <v>0</v>
      </c>
      <c r="H16" s="13">
        <v>45868.0</v>
      </c>
      <c r="I16" s="14" t="s">
        <v>14</v>
      </c>
      <c r="J16" s="15">
        <v>45878.0</v>
      </c>
      <c r="K16" s="7" t="s">
        <v>419</v>
      </c>
      <c r="L16" s="9"/>
    </row>
    <row r="17">
      <c r="A17" s="7">
        <v>15.0</v>
      </c>
      <c r="B17" s="8">
        <v>9.08020201E8</v>
      </c>
      <c r="C17" s="9" t="s">
        <v>13</v>
      </c>
      <c r="D17" s="10">
        <v>2.7003098E7</v>
      </c>
      <c r="E17" s="7">
        <v>4.0</v>
      </c>
      <c r="F17" s="11"/>
      <c r="G17" s="12">
        <f t="shared" si="1"/>
        <v>4</v>
      </c>
      <c r="H17" s="13">
        <v>45868.0</v>
      </c>
      <c r="I17" s="14" t="s">
        <v>14</v>
      </c>
      <c r="J17" s="15"/>
      <c r="K17" s="7"/>
      <c r="L17" s="9"/>
    </row>
    <row r="18">
      <c r="A18" s="7">
        <v>16.0</v>
      </c>
      <c r="B18" s="8">
        <v>9.08122011E8</v>
      </c>
      <c r="C18" s="9" t="s">
        <v>23</v>
      </c>
      <c r="D18" s="10">
        <v>2.7003098E7</v>
      </c>
      <c r="E18" s="7">
        <v>3.0</v>
      </c>
      <c r="F18" s="11"/>
      <c r="G18" s="12">
        <f t="shared" si="1"/>
        <v>3</v>
      </c>
      <c r="H18" s="13">
        <v>45868.0</v>
      </c>
      <c r="I18" s="14" t="s">
        <v>14</v>
      </c>
      <c r="J18" s="15"/>
      <c r="K18" s="7"/>
      <c r="L18" s="9"/>
    </row>
    <row r="19">
      <c r="A19" s="7">
        <v>17.0</v>
      </c>
      <c r="B19" s="8">
        <v>9.0812115E8</v>
      </c>
      <c r="C19" s="9" t="s">
        <v>426</v>
      </c>
      <c r="D19" s="10">
        <v>2.7003098E7</v>
      </c>
      <c r="E19" s="7">
        <v>2.0</v>
      </c>
      <c r="F19" s="11">
        <v>2.0</v>
      </c>
      <c r="G19" s="12">
        <f t="shared" si="1"/>
        <v>0</v>
      </c>
      <c r="H19" s="13">
        <v>45885.0</v>
      </c>
      <c r="I19" s="14" t="s">
        <v>14</v>
      </c>
      <c r="J19" s="15">
        <v>45902.0</v>
      </c>
      <c r="K19" s="7" t="s">
        <v>427</v>
      </c>
      <c r="L19" s="9"/>
    </row>
    <row r="20">
      <c r="A20" s="7">
        <v>18.0</v>
      </c>
      <c r="B20" s="8">
        <v>9.08111101E8</v>
      </c>
      <c r="C20" s="9" t="s">
        <v>24</v>
      </c>
      <c r="D20" s="10">
        <v>2.7003098E7</v>
      </c>
      <c r="E20" s="7">
        <v>12.0</v>
      </c>
      <c r="F20" s="11">
        <v>6.0</v>
      </c>
      <c r="G20" s="12">
        <f t="shared" si="1"/>
        <v>6</v>
      </c>
      <c r="H20" s="13">
        <v>45868.0</v>
      </c>
      <c r="I20" s="14" t="s">
        <v>14</v>
      </c>
      <c r="J20" s="15">
        <v>45876.0</v>
      </c>
      <c r="K20" s="7" t="s">
        <v>419</v>
      </c>
      <c r="L20" s="9"/>
    </row>
    <row r="21" ht="15.75" customHeight="1">
      <c r="A21" s="7">
        <v>19.0</v>
      </c>
      <c r="B21" s="8">
        <v>9.0820203E8</v>
      </c>
      <c r="C21" s="9" t="s">
        <v>363</v>
      </c>
      <c r="D21" s="10">
        <v>2.7003098E7</v>
      </c>
      <c r="E21" s="7">
        <v>4.0</v>
      </c>
      <c r="F21" s="11">
        <f>2+2</f>
        <v>4</v>
      </c>
      <c r="G21" s="12">
        <f t="shared" si="1"/>
        <v>0</v>
      </c>
      <c r="H21" s="13">
        <v>45868.0</v>
      </c>
      <c r="I21" s="14" t="s">
        <v>14</v>
      </c>
      <c r="J21" s="30" t="s">
        <v>428</v>
      </c>
      <c r="K21" s="7" t="s">
        <v>429</v>
      </c>
      <c r="L21" s="9"/>
    </row>
    <row r="22" ht="15.75" customHeight="1">
      <c r="A22" s="7">
        <v>20.0</v>
      </c>
      <c r="B22" s="19" t="s">
        <v>103</v>
      </c>
      <c r="C22" s="20" t="s">
        <v>104</v>
      </c>
      <c r="D22" s="10">
        <v>2.7003098E7</v>
      </c>
      <c r="E22" s="7">
        <v>2.0</v>
      </c>
      <c r="F22" s="11">
        <f>1+1</f>
        <v>2</v>
      </c>
      <c r="G22" s="12">
        <f t="shared" si="1"/>
        <v>0</v>
      </c>
      <c r="H22" s="13">
        <v>45868.0</v>
      </c>
      <c r="I22" s="14" t="s">
        <v>14</v>
      </c>
      <c r="J22" s="30" t="s">
        <v>430</v>
      </c>
      <c r="K22" s="93" t="s">
        <v>431</v>
      </c>
      <c r="L22" s="79" t="s">
        <v>432</v>
      </c>
    </row>
    <row r="23" ht="15.75" customHeight="1">
      <c r="A23" s="7">
        <v>21.0</v>
      </c>
      <c r="B23" s="19">
        <v>9.08202098E8</v>
      </c>
      <c r="C23" s="20" t="s">
        <v>22</v>
      </c>
      <c r="D23" s="10">
        <v>2.7003098E7</v>
      </c>
      <c r="E23" s="7">
        <v>2.0</v>
      </c>
      <c r="F23" s="11">
        <f>2+2</f>
        <v>4</v>
      </c>
      <c r="G23" s="12">
        <f t="shared" si="1"/>
        <v>-2</v>
      </c>
      <c r="H23" s="13">
        <v>45868.0</v>
      </c>
      <c r="I23" s="14" t="s">
        <v>14</v>
      </c>
      <c r="J23" s="30" t="s">
        <v>428</v>
      </c>
      <c r="K23" s="7" t="s">
        <v>422</v>
      </c>
      <c r="L23" s="9"/>
    </row>
    <row r="24" ht="15.75" customHeight="1">
      <c r="A24" s="7">
        <v>22.0</v>
      </c>
      <c r="B24" s="19">
        <v>9.0812201E8</v>
      </c>
      <c r="C24" s="20" t="s">
        <v>80</v>
      </c>
      <c r="D24" s="10">
        <v>2.7567365E7</v>
      </c>
      <c r="E24" s="7">
        <v>8.0</v>
      </c>
      <c r="F24" s="11"/>
      <c r="G24" s="12">
        <f t="shared" si="1"/>
        <v>8</v>
      </c>
      <c r="H24" s="13">
        <v>45882.0</v>
      </c>
      <c r="I24" s="14" t="s">
        <v>14</v>
      </c>
      <c r="J24" s="15"/>
      <c r="K24" s="7"/>
      <c r="L24" s="9"/>
    </row>
    <row r="25" ht="15.75" customHeight="1">
      <c r="A25" s="7">
        <v>23.0</v>
      </c>
      <c r="B25" s="8">
        <v>9.08020201E8</v>
      </c>
      <c r="C25" s="9" t="s">
        <v>13</v>
      </c>
      <c r="D25" s="10">
        <v>2.7567365E7</v>
      </c>
      <c r="E25" s="7">
        <v>2.0</v>
      </c>
      <c r="F25" s="11"/>
      <c r="G25" s="12">
        <f t="shared" si="1"/>
        <v>2</v>
      </c>
      <c r="H25" s="13">
        <v>45882.0</v>
      </c>
      <c r="I25" s="14" t="s">
        <v>14</v>
      </c>
      <c r="J25" s="15"/>
      <c r="K25" s="7"/>
      <c r="L25" s="9"/>
    </row>
    <row r="26" ht="15.75" customHeight="1">
      <c r="A26" s="7">
        <v>24.0</v>
      </c>
      <c r="B26" s="8">
        <v>9.0820203E8</v>
      </c>
      <c r="C26" s="9" t="s">
        <v>363</v>
      </c>
      <c r="D26" s="10">
        <v>2.7567365E7</v>
      </c>
      <c r="E26" s="7">
        <v>10.0</v>
      </c>
      <c r="F26" s="11"/>
      <c r="G26" s="12">
        <f t="shared" si="1"/>
        <v>10</v>
      </c>
      <c r="H26" s="13">
        <v>45882.0</v>
      </c>
      <c r="I26" s="14" t="s">
        <v>14</v>
      </c>
      <c r="J26" s="15"/>
      <c r="K26" s="7"/>
      <c r="L26" s="9"/>
    </row>
    <row r="27" ht="15.75" customHeight="1">
      <c r="A27" s="7">
        <v>25.0</v>
      </c>
      <c r="B27" s="8">
        <v>9.08202054E8</v>
      </c>
      <c r="C27" s="9" t="s">
        <v>21</v>
      </c>
      <c r="D27" s="10">
        <v>2.7567365E7</v>
      </c>
      <c r="E27" s="7">
        <v>2.0</v>
      </c>
      <c r="F27" s="11">
        <v>2.0</v>
      </c>
      <c r="G27" s="12">
        <f t="shared" si="1"/>
        <v>0</v>
      </c>
      <c r="H27" s="13">
        <v>45882.0</v>
      </c>
      <c r="I27" s="14" t="s">
        <v>14</v>
      </c>
      <c r="J27" s="15">
        <v>45885.0</v>
      </c>
      <c r="K27" s="7" t="s">
        <v>283</v>
      </c>
      <c r="L27" s="9"/>
    </row>
    <row r="28" ht="15.75" customHeight="1">
      <c r="A28" s="7">
        <v>26.0</v>
      </c>
      <c r="B28" s="19">
        <v>9.08371014E8</v>
      </c>
      <c r="C28" s="20" t="s">
        <v>365</v>
      </c>
      <c r="D28" s="10">
        <v>2.7567365E7</v>
      </c>
      <c r="E28" s="7">
        <v>2.0</v>
      </c>
      <c r="F28" s="11">
        <v>2.0</v>
      </c>
      <c r="G28" s="12">
        <f t="shared" si="1"/>
        <v>0</v>
      </c>
      <c r="H28" s="13">
        <v>45882.0</v>
      </c>
      <c r="I28" s="14" t="s">
        <v>14</v>
      </c>
      <c r="J28" s="15">
        <v>45885.0</v>
      </c>
      <c r="K28" s="7" t="s">
        <v>283</v>
      </c>
      <c r="L28" s="9"/>
    </row>
    <row r="29" ht="15.75" customHeight="1">
      <c r="A29" s="7">
        <v>27.0</v>
      </c>
      <c r="B29" s="8">
        <v>9.08402208E8</v>
      </c>
      <c r="C29" s="20" t="s">
        <v>111</v>
      </c>
      <c r="D29" s="10">
        <v>2.7567365E7</v>
      </c>
      <c r="E29" s="7">
        <v>2.0</v>
      </c>
      <c r="F29" s="11">
        <v>2.0</v>
      </c>
      <c r="G29" s="12">
        <f t="shared" si="1"/>
        <v>0</v>
      </c>
      <c r="H29" s="13">
        <v>45882.0</v>
      </c>
      <c r="I29" s="14" t="s">
        <v>14</v>
      </c>
      <c r="J29" s="15">
        <v>45885.0</v>
      </c>
      <c r="K29" s="7" t="s">
        <v>283</v>
      </c>
      <c r="L29" s="9"/>
    </row>
    <row r="30" ht="15.75" customHeight="1">
      <c r="A30" s="7">
        <v>28.0</v>
      </c>
      <c r="B30" s="8">
        <v>9.08421025E8</v>
      </c>
      <c r="C30" s="20" t="s">
        <v>112</v>
      </c>
      <c r="D30" s="10">
        <v>2.7567365E7</v>
      </c>
      <c r="E30" s="7">
        <v>2.0</v>
      </c>
      <c r="F30" s="11">
        <v>2.0</v>
      </c>
      <c r="G30" s="12">
        <f t="shared" si="1"/>
        <v>0</v>
      </c>
      <c r="H30" s="13">
        <v>45882.0</v>
      </c>
      <c r="I30" s="14" t="s">
        <v>14</v>
      </c>
      <c r="J30" s="15">
        <v>45885.0</v>
      </c>
      <c r="K30" s="7" t="s">
        <v>283</v>
      </c>
      <c r="L30" s="9"/>
    </row>
    <row r="31" ht="15.75" customHeight="1">
      <c r="A31" s="7">
        <v>29.0</v>
      </c>
      <c r="B31" s="8">
        <v>9.08111101E8</v>
      </c>
      <c r="C31" s="9" t="s">
        <v>24</v>
      </c>
      <c r="D31" s="10">
        <v>2.7567365E7</v>
      </c>
      <c r="E31" s="7">
        <v>6.0</v>
      </c>
      <c r="F31" s="11">
        <v>4.0</v>
      </c>
      <c r="G31" s="12">
        <f t="shared" si="1"/>
        <v>2</v>
      </c>
      <c r="H31" s="13">
        <v>45882.0</v>
      </c>
      <c r="I31" s="14" t="s">
        <v>14</v>
      </c>
      <c r="J31" s="15">
        <v>45885.0</v>
      </c>
      <c r="K31" s="7" t="s">
        <v>283</v>
      </c>
      <c r="L31" s="9"/>
    </row>
    <row r="32" ht="15.75" customHeight="1">
      <c r="A32" s="7">
        <v>30.0</v>
      </c>
      <c r="B32" s="8">
        <v>9.08202189E8</v>
      </c>
      <c r="C32" s="9" t="s">
        <v>423</v>
      </c>
      <c r="D32" s="10">
        <v>2.7567365E7</v>
      </c>
      <c r="E32" s="7">
        <v>2.0</v>
      </c>
      <c r="F32" s="11">
        <v>2.0</v>
      </c>
      <c r="G32" s="12">
        <f t="shared" si="1"/>
        <v>0</v>
      </c>
      <c r="H32" s="13">
        <v>45882.0</v>
      </c>
      <c r="I32" s="14" t="s">
        <v>14</v>
      </c>
      <c r="J32" s="15">
        <v>45885.0</v>
      </c>
      <c r="K32" s="7" t="s">
        <v>283</v>
      </c>
      <c r="L32" s="9"/>
    </row>
    <row r="33" ht="15.75" customHeight="1">
      <c r="A33" s="7"/>
      <c r="B33" s="19"/>
      <c r="C33" s="20"/>
      <c r="D33" s="10"/>
      <c r="E33" s="7"/>
      <c r="F33" s="11"/>
      <c r="G33" s="12"/>
      <c r="H33" s="13"/>
      <c r="I33" s="14"/>
      <c r="J33" s="15"/>
      <c r="K33" s="7"/>
      <c r="L33" s="9"/>
    </row>
    <row r="34" ht="15.75" customHeight="1"/>
    <row r="35" ht="15.75" customHeight="1"/>
    <row r="36" ht="15.75" customHeight="1">
      <c r="A36" s="4" t="s">
        <v>1</v>
      </c>
      <c r="B36" s="5" t="s">
        <v>2</v>
      </c>
      <c r="C36" s="4" t="s">
        <v>433</v>
      </c>
      <c r="D36" s="4" t="s">
        <v>5</v>
      </c>
      <c r="E36" s="94" t="s">
        <v>8</v>
      </c>
    </row>
    <row r="37" ht="15.75" customHeight="1">
      <c r="A37" s="95">
        <v>2.0</v>
      </c>
      <c r="B37" s="8">
        <v>9.08114004E8</v>
      </c>
      <c r="C37" s="9" t="s">
        <v>69</v>
      </c>
      <c r="D37" s="8">
        <f>2.2+0.65+2.2+2.2+0.5+0.56+3+4.8</f>
        <v>16.11</v>
      </c>
      <c r="E37" s="96">
        <v>45903.0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41.57"/>
    <col customWidth="1" min="13" max="26" width="8.71"/>
  </cols>
  <sheetData>
    <row r="1">
      <c r="A1" s="1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9.08113004E8</v>
      </c>
      <c r="C3" s="20" t="s">
        <v>70</v>
      </c>
      <c r="D3" s="10">
        <v>2.697675E7</v>
      </c>
      <c r="E3" s="7">
        <v>8.0</v>
      </c>
      <c r="F3" s="11">
        <v>8.0</v>
      </c>
      <c r="G3" s="12">
        <f t="shared" ref="G3:G23" si="1">E3-F3</f>
        <v>0</v>
      </c>
      <c r="H3" s="13">
        <v>45868.0</v>
      </c>
      <c r="I3" s="14" t="s">
        <v>14</v>
      </c>
      <c r="J3" s="15">
        <v>45888.0</v>
      </c>
      <c r="K3" s="7" t="s">
        <v>435</v>
      </c>
      <c r="L3" s="9"/>
    </row>
    <row r="4">
      <c r="A4" s="7">
        <v>2.0</v>
      </c>
      <c r="B4" s="8">
        <v>9.0812104E8</v>
      </c>
      <c r="C4" s="29" t="s">
        <v>66</v>
      </c>
      <c r="D4" s="10">
        <v>2.697675E7</v>
      </c>
      <c r="E4" s="7">
        <v>2.0</v>
      </c>
      <c r="F4" s="11">
        <v>2.0</v>
      </c>
      <c r="G4" s="12">
        <f t="shared" si="1"/>
        <v>0</v>
      </c>
      <c r="H4" s="13">
        <v>45868.0</v>
      </c>
      <c r="I4" s="14" t="s">
        <v>14</v>
      </c>
      <c r="J4" s="15">
        <v>45888.0</v>
      </c>
      <c r="K4" s="7" t="s">
        <v>435</v>
      </c>
      <c r="L4" s="9"/>
    </row>
    <row r="5">
      <c r="A5" s="7">
        <v>3.0</v>
      </c>
      <c r="B5" s="8">
        <v>9.08569114E8</v>
      </c>
      <c r="C5" s="9" t="s">
        <v>149</v>
      </c>
      <c r="D5" s="10">
        <v>2.697675E7</v>
      </c>
      <c r="E5" s="7">
        <v>1.0</v>
      </c>
      <c r="F5" s="11">
        <v>1.0</v>
      </c>
      <c r="G5" s="12">
        <f t="shared" si="1"/>
        <v>0</v>
      </c>
      <c r="H5" s="13">
        <v>45868.0</v>
      </c>
      <c r="I5" s="14" t="s">
        <v>14</v>
      </c>
      <c r="J5" s="15">
        <v>45870.0</v>
      </c>
      <c r="K5" s="7" t="s">
        <v>435</v>
      </c>
      <c r="L5" s="9"/>
    </row>
    <row r="6">
      <c r="A6" s="7">
        <v>4.0</v>
      </c>
      <c r="B6" s="8">
        <v>9.08321012E8</v>
      </c>
      <c r="C6" s="29" t="s">
        <v>380</v>
      </c>
      <c r="D6" s="10">
        <v>2.697675E7</v>
      </c>
      <c r="E6" s="7">
        <v>1.0</v>
      </c>
      <c r="F6" s="11">
        <v>1.0</v>
      </c>
      <c r="G6" s="12">
        <f t="shared" si="1"/>
        <v>0</v>
      </c>
      <c r="H6" s="13">
        <v>45868.0</v>
      </c>
      <c r="I6" s="14" t="s">
        <v>14</v>
      </c>
      <c r="J6" s="15">
        <v>45870.0</v>
      </c>
      <c r="K6" s="7" t="s">
        <v>435</v>
      </c>
      <c r="L6" s="9"/>
    </row>
    <row r="7">
      <c r="A7" s="7">
        <v>5.0</v>
      </c>
      <c r="B7" s="8">
        <v>9.08111102E8</v>
      </c>
      <c r="C7" s="9" t="s">
        <v>420</v>
      </c>
      <c r="D7" s="10">
        <v>2.697675E7</v>
      </c>
      <c r="E7" s="7">
        <v>25.0</v>
      </c>
      <c r="F7" s="11">
        <v>25.0</v>
      </c>
      <c r="G7" s="12">
        <f t="shared" si="1"/>
        <v>0</v>
      </c>
      <c r="H7" s="13">
        <v>45868.0</v>
      </c>
      <c r="I7" s="14" t="s">
        <v>14</v>
      </c>
      <c r="J7" s="15">
        <v>45888.0</v>
      </c>
      <c r="K7" s="7" t="s">
        <v>435</v>
      </c>
      <c r="L7" s="9"/>
    </row>
    <row r="8">
      <c r="A8" s="7">
        <v>6.0</v>
      </c>
      <c r="B8" s="8">
        <v>9.08202054E8</v>
      </c>
      <c r="C8" s="9" t="s">
        <v>21</v>
      </c>
      <c r="D8" s="10">
        <v>2.697675E7</v>
      </c>
      <c r="E8" s="7">
        <v>6.0</v>
      </c>
      <c r="F8" s="11">
        <f>2+4</f>
        <v>6</v>
      </c>
      <c r="G8" s="12">
        <f t="shared" si="1"/>
        <v>0</v>
      </c>
      <c r="H8" s="13">
        <v>45868.0</v>
      </c>
      <c r="I8" s="14" t="s">
        <v>14</v>
      </c>
      <c r="J8" s="30" t="s">
        <v>436</v>
      </c>
      <c r="K8" s="51" t="s">
        <v>437</v>
      </c>
      <c r="L8" s="9"/>
    </row>
    <row r="9">
      <c r="A9" s="7">
        <v>7.0</v>
      </c>
      <c r="B9" s="8">
        <v>9.08202189E8</v>
      </c>
      <c r="C9" s="9" t="s">
        <v>423</v>
      </c>
      <c r="D9" s="10">
        <v>2.697675E7</v>
      </c>
      <c r="E9" s="7">
        <v>8.0</v>
      </c>
      <c r="F9" s="11">
        <v>7.0</v>
      </c>
      <c r="G9" s="12">
        <f t="shared" si="1"/>
        <v>1</v>
      </c>
      <c r="H9" s="13">
        <v>45868.0</v>
      </c>
      <c r="I9" s="14" t="s">
        <v>14</v>
      </c>
      <c r="J9" s="15">
        <v>45888.0</v>
      </c>
      <c r="K9" s="7" t="s">
        <v>435</v>
      </c>
      <c r="L9" s="9"/>
    </row>
    <row r="10">
      <c r="A10" s="7">
        <v>8.0</v>
      </c>
      <c r="B10" s="8">
        <v>9.08122034E8</v>
      </c>
      <c r="C10" s="9" t="s">
        <v>36</v>
      </c>
      <c r="D10" s="10">
        <v>2.697675E7</v>
      </c>
      <c r="E10" s="7">
        <v>8.0</v>
      </c>
      <c r="F10" s="11">
        <v>6.0</v>
      </c>
      <c r="G10" s="12">
        <f t="shared" si="1"/>
        <v>2</v>
      </c>
      <c r="H10" s="13">
        <v>45868.0</v>
      </c>
      <c r="I10" s="14" t="s">
        <v>14</v>
      </c>
      <c r="J10" s="15">
        <v>45888.0</v>
      </c>
      <c r="K10" s="7" t="s">
        <v>435</v>
      </c>
      <c r="L10" s="9"/>
    </row>
    <row r="11">
      <c r="A11" s="7">
        <v>9.0</v>
      </c>
      <c r="B11" s="8">
        <v>9.08111005E8</v>
      </c>
      <c r="C11" s="9" t="s">
        <v>26</v>
      </c>
      <c r="D11" s="10">
        <v>2.697675E7</v>
      </c>
      <c r="E11" s="7">
        <v>55.0</v>
      </c>
      <c r="F11" s="11">
        <v>55.0</v>
      </c>
      <c r="G11" s="12">
        <f t="shared" si="1"/>
        <v>0</v>
      </c>
      <c r="H11" s="13">
        <v>45868.0</v>
      </c>
      <c r="I11" s="14" t="s">
        <v>14</v>
      </c>
      <c r="J11" s="15">
        <v>45888.0</v>
      </c>
      <c r="K11" s="7" t="s">
        <v>435</v>
      </c>
      <c r="L11" s="9"/>
    </row>
    <row r="12">
      <c r="A12" s="7">
        <v>10.0</v>
      </c>
      <c r="B12" s="8">
        <v>9.08111007E8</v>
      </c>
      <c r="C12" s="9" t="s">
        <v>28</v>
      </c>
      <c r="D12" s="10">
        <v>2.697675E7</v>
      </c>
      <c r="E12" s="7">
        <v>78.0</v>
      </c>
      <c r="F12" s="11">
        <v>78.0</v>
      </c>
      <c r="G12" s="12">
        <f t="shared" si="1"/>
        <v>0</v>
      </c>
      <c r="H12" s="13">
        <v>45868.0</v>
      </c>
      <c r="I12" s="14" t="s">
        <v>14</v>
      </c>
      <c r="J12" s="15">
        <v>45888.0</v>
      </c>
      <c r="K12" s="7" t="s">
        <v>435</v>
      </c>
      <c r="L12" s="9"/>
    </row>
    <row r="13" ht="35.25" customHeight="1">
      <c r="A13" s="7">
        <v>11.0</v>
      </c>
      <c r="B13" s="8">
        <v>9.08114004E8</v>
      </c>
      <c r="C13" s="9" t="s">
        <v>69</v>
      </c>
      <c r="D13" s="10">
        <v>2.697675E7</v>
      </c>
      <c r="E13" s="7">
        <v>310.0</v>
      </c>
      <c r="F13" s="11">
        <v>322.0</v>
      </c>
      <c r="G13" s="12">
        <f t="shared" si="1"/>
        <v>-12</v>
      </c>
      <c r="H13" s="13">
        <v>45871.0</v>
      </c>
      <c r="I13" s="14" t="s">
        <v>14</v>
      </c>
      <c r="J13" s="15">
        <v>45889.0</v>
      </c>
      <c r="K13" s="7" t="s">
        <v>435</v>
      </c>
      <c r="L13" s="92"/>
    </row>
    <row r="14">
      <c r="A14" s="7">
        <v>12.0</v>
      </c>
      <c r="B14" s="8">
        <v>9.08121008E8</v>
      </c>
      <c r="C14" s="9" t="s">
        <v>17</v>
      </c>
      <c r="D14" s="10">
        <v>2.697675E7</v>
      </c>
      <c r="E14" s="7">
        <v>2.0</v>
      </c>
      <c r="F14" s="11">
        <v>2.0</v>
      </c>
      <c r="G14" s="12">
        <f t="shared" si="1"/>
        <v>0</v>
      </c>
      <c r="H14" s="13">
        <v>45868.0</v>
      </c>
      <c r="I14" s="14" t="s">
        <v>14</v>
      </c>
      <c r="J14" s="15">
        <v>45889.0</v>
      </c>
      <c r="K14" s="7" t="s">
        <v>435</v>
      </c>
      <c r="L14" s="9"/>
    </row>
    <row r="15">
      <c r="A15" s="7">
        <v>13.0</v>
      </c>
      <c r="B15" s="8">
        <v>9.0812101E8</v>
      </c>
      <c r="C15" s="9" t="s">
        <v>18</v>
      </c>
      <c r="D15" s="10">
        <v>2.697675E7</v>
      </c>
      <c r="E15" s="7">
        <v>2.0</v>
      </c>
      <c r="F15" s="11">
        <v>2.0</v>
      </c>
      <c r="G15" s="12">
        <f t="shared" si="1"/>
        <v>0</v>
      </c>
      <c r="H15" s="13">
        <v>45868.0</v>
      </c>
      <c r="I15" s="14" t="s">
        <v>14</v>
      </c>
      <c r="J15" s="15">
        <v>45889.0</v>
      </c>
      <c r="K15" s="7" t="s">
        <v>435</v>
      </c>
      <c r="L15" s="9"/>
    </row>
    <row r="16">
      <c r="A16" s="7">
        <v>14.0</v>
      </c>
      <c r="B16" s="8">
        <v>9.08121144E8</v>
      </c>
      <c r="C16" s="9" t="s">
        <v>425</v>
      </c>
      <c r="D16" s="10">
        <v>2.697675E7</v>
      </c>
      <c r="E16" s="7">
        <v>2.0</v>
      </c>
      <c r="F16" s="11">
        <v>2.0</v>
      </c>
      <c r="G16" s="12">
        <f t="shared" si="1"/>
        <v>0</v>
      </c>
      <c r="H16" s="13">
        <v>45868.0</v>
      </c>
      <c r="I16" s="14" t="s">
        <v>14</v>
      </c>
      <c r="J16" s="15">
        <v>45889.0</v>
      </c>
      <c r="K16" s="7" t="s">
        <v>382</v>
      </c>
      <c r="L16" s="9"/>
    </row>
    <row r="17">
      <c r="A17" s="7">
        <v>15.0</v>
      </c>
      <c r="B17" s="8">
        <v>9.08020201E8</v>
      </c>
      <c r="C17" s="9" t="s">
        <v>13</v>
      </c>
      <c r="D17" s="10">
        <v>2.697675E7</v>
      </c>
      <c r="E17" s="7">
        <v>3.0</v>
      </c>
      <c r="F17" s="11"/>
      <c r="G17" s="12">
        <f t="shared" si="1"/>
        <v>3</v>
      </c>
      <c r="H17" s="13">
        <v>45868.0</v>
      </c>
      <c r="I17" s="14" t="s">
        <v>14</v>
      </c>
      <c r="J17" s="15"/>
      <c r="K17" s="7"/>
      <c r="L17" s="9"/>
    </row>
    <row r="18">
      <c r="A18" s="7">
        <v>16.0</v>
      </c>
      <c r="B18" s="8">
        <v>9.08122011E8</v>
      </c>
      <c r="C18" s="9" t="s">
        <v>23</v>
      </c>
      <c r="D18" s="10">
        <v>2.697675E7</v>
      </c>
      <c r="E18" s="7">
        <v>3.0</v>
      </c>
      <c r="F18" s="11">
        <v>3.0</v>
      </c>
      <c r="G18" s="12">
        <f t="shared" si="1"/>
        <v>0</v>
      </c>
      <c r="H18" s="13">
        <v>45868.0</v>
      </c>
      <c r="I18" s="14" t="s">
        <v>14</v>
      </c>
      <c r="J18" s="15">
        <v>45889.0</v>
      </c>
      <c r="K18" s="7" t="s">
        <v>435</v>
      </c>
      <c r="L18" s="9"/>
    </row>
    <row r="19">
      <c r="A19" s="7">
        <v>17.0</v>
      </c>
      <c r="B19" s="8">
        <v>9.0812115E8</v>
      </c>
      <c r="C19" s="9" t="s">
        <v>426</v>
      </c>
      <c r="D19" s="10">
        <v>2.697675E7</v>
      </c>
      <c r="E19" s="7">
        <v>2.0</v>
      </c>
      <c r="F19" s="11">
        <v>2.0</v>
      </c>
      <c r="G19" s="12">
        <f t="shared" si="1"/>
        <v>0</v>
      </c>
      <c r="H19" s="13">
        <v>45868.0</v>
      </c>
      <c r="I19" s="14" t="s">
        <v>14</v>
      </c>
      <c r="J19" s="15">
        <v>45897.0</v>
      </c>
      <c r="K19" s="7" t="s">
        <v>435</v>
      </c>
      <c r="L19" s="9"/>
    </row>
    <row r="20">
      <c r="A20" s="7">
        <v>18.0</v>
      </c>
      <c r="B20" s="8">
        <v>9.08111101E8</v>
      </c>
      <c r="C20" s="9" t="s">
        <v>24</v>
      </c>
      <c r="D20" s="10">
        <v>2.697675E7</v>
      </c>
      <c r="E20" s="7">
        <v>6.0</v>
      </c>
      <c r="F20" s="11">
        <v>6.0</v>
      </c>
      <c r="G20" s="12">
        <f t="shared" si="1"/>
        <v>0</v>
      </c>
      <c r="H20" s="13">
        <v>45868.0</v>
      </c>
      <c r="I20" s="14" t="s">
        <v>14</v>
      </c>
      <c r="J20" s="15">
        <v>45885.0</v>
      </c>
      <c r="K20" s="7" t="s">
        <v>438</v>
      </c>
      <c r="L20" s="9"/>
    </row>
    <row r="21" ht="15.75" customHeight="1">
      <c r="A21" s="7">
        <v>19.0</v>
      </c>
      <c r="B21" s="8">
        <v>9.0820203E8</v>
      </c>
      <c r="C21" s="9" t="s">
        <v>363</v>
      </c>
      <c r="D21" s="10">
        <v>2.697675E7</v>
      </c>
      <c r="E21" s="7">
        <v>2.0</v>
      </c>
      <c r="F21" s="11">
        <v>2.0</v>
      </c>
      <c r="G21" s="12">
        <f t="shared" si="1"/>
        <v>0</v>
      </c>
      <c r="H21" s="13">
        <v>45868.0</v>
      </c>
      <c r="I21" s="14" t="s">
        <v>14</v>
      </c>
      <c r="J21" s="15">
        <v>45885.0</v>
      </c>
      <c r="K21" s="7" t="s">
        <v>438</v>
      </c>
      <c r="L21" s="9"/>
    </row>
    <row r="22" ht="15.75" customHeight="1">
      <c r="A22" s="7">
        <v>20.0</v>
      </c>
      <c r="B22" s="19" t="s">
        <v>103</v>
      </c>
      <c r="C22" s="20" t="s">
        <v>104</v>
      </c>
      <c r="D22" s="10">
        <v>2.697675E7</v>
      </c>
      <c r="E22" s="7">
        <v>1.0</v>
      </c>
      <c r="F22" s="11">
        <v>1.0</v>
      </c>
      <c r="G22" s="12">
        <f t="shared" si="1"/>
        <v>0</v>
      </c>
      <c r="H22" s="13">
        <v>45868.0</v>
      </c>
      <c r="I22" s="14" t="s">
        <v>14</v>
      </c>
      <c r="J22" s="15">
        <v>45885.0</v>
      </c>
      <c r="K22" s="7" t="s">
        <v>438</v>
      </c>
      <c r="L22" s="9"/>
    </row>
    <row r="23" ht="15.75" customHeight="1">
      <c r="A23" s="7">
        <v>21.0</v>
      </c>
      <c r="B23" s="19">
        <v>9.08202098E8</v>
      </c>
      <c r="C23" s="20" t="s">
        <v>22</v>
      </c>
      <c r="D23" s="10">
        <v>2.697675E7</v>
      </c>
      <c r="E23" s="7">
        <v>2.0</v>
      </c>
      <c r="F23" s="11">
        <v>2.0</v>
      </c>
      <c r="G23" s="12">
        <f t="shared" si="1"/>
        <v>0</v>
      </c>
      <c r="H23" s="13">
        <v>45868.0</v>
      </c>
      <c r="I23" s="14" t="s">
        <v>14</v>
      </c>
      <c r="J23" s="15">
        <v>45885.0</v>
      </c>
      <c r="K23" s="7" t="s">
        <v>438</v>
      </c>
      <c r="L23" s="9"/>
    </row>
    <row r="24" ht="15.75" customHeight="1"/>
    <row r="25" ht="15.75" customHeight="1"/>
    <row r="26" ht="15.75" customHeight="1"/>
    <row r="27" ht="15.75" customHeight="1">
      <c r="A27" s="93" t="s">
        <v>439</v>
      </c>
      <c r="B27" s="97" t="s">
        <v>440</v>
      </c>
      <c r="C27" s="27"/>
      <c r="D27" s="98" t="s">
        <v>352</v>
      </c>
      <c r="E27" s="99" t="s">
        <v>89</v>
      </c>
    </row>
    <row r="28" ht="15.75" customHeight="1">
      <c r="A28" s="7">
        <v>1.0</v>
      </c>
      <c r="B28" s="8">
        <v>9.08114004E8</v>
      </c>
      <c r="C28" s="9" t="s">
        <v>69</v>
      </c>
      <c r="D28" s="100">
        <f>2.7+2.7+2.7+1.7+0.8+1+0.6+0.98+1+0.8+0.9+0.88+0.8+0.68+0.9+0.67+1.7+1.7</f>
        <v>23.21</v>
      </c>
      <c r="E28" s="101">
        <v>45899.0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B27:C27"/>
  </mergeCells>
  <printOptions/>
  <pageMargins bottom="0.75" footer="0.0" header="0.0" left="0.7" right="0.7" top="0.75"/>
  <pageSetup scale="27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103</v>
      </c>
      <c r="C3" s="20" t="s">
        <v>104</v>
      </c>
      <c r="D3" s="7">
        <v>2.7451623E7</v>
      </c>
      <c r="E3" s="7">
        <v>1.0</v>
      </c>
      <c r="F3" s="11">
        <v>1.0</v>
      </c>
      <c r="G3" s="12">
        <f t="shared" ref="G3:G23" si="1">E3-F3</f>
        <v>0</v>
      </c>
      <c r="H3" s="13">
        <v>45869.0</v>
      </c>
      <c r="I3" s="14" t="s">
        <v>14</v>
      </c>
      <c r="J3" s="13">
        <v>45869.0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2.7451623E7</v>
      </c>
      <c r="E4" s="7">
        <v>2.0</v>
      </c>
      <c r="F4" s="11">
        <v>2.0</v>
      </c>
      <c r="G4" s="12">
        <f t="shared" si="1"/>
        <v>0</v>
      </c>
      <c r="H4" s="13">
        <v>45869.0</v>
      </c>
      <c r="I4" s="14" t="s">
        <v>14</v>
      </c>
      <c r="J4" s="13">
        <v>45869.0</v>
      </c>
      <c r="K4" s="7" t="s">
        <v>283</v>
      </c>
      <c r="L4" s="9"/>
    </row>
    <row r="5">
      <c r="A5" s="7">
        <v>3.0</v>
      </c>
      <c r="B5" s="8">
        <v>9.08202098E8</v>
      </c>
      <c r="C5" s="9" t="s">
        <v>22</v>
      </c>
      <c r="D5" s="7">
        <v>2.7451623E7</v>
      </c>
      <c r="E5" s="7">
        <v>2.0</v>
      </c>
      <c r="F5" s="11">
        <v>2.0</v>
      </c>
      <c r="G5" s="12">
        <f t="shared" si="1"/>
        <v>0</v>
      </c>
      <c r="H5" s="13">
        <v>45869.0</v>
      </c>
      <c r="I5" s="14" t="s">
        <v>14</v>
      </c>
      <c r="J5" s="13">
        <v>45869.0</v>
      </c>
      <c r="K5" s="7" t="s">
        <v>283</v>
      </c>
      <c r="L5" s="9"/>
    </row>
    <row r="6">
      <c r="A6" s="7">
        <v>4.0</v>
      </c>
      <c r="B6" s="8">
        <v>9.0820203E8</v>
      </c>
      <c r="C6" s="9" t="s">
        <v>19</v>
      </c>
      <c r="D6" s="7">
        <v>2.7451623E7</v>
      </c>
      <c r="E6" s="7">
        <v>2.0</v>
      </c>
      <c r="F6" s="11">
        <v>2.0</v>
      </c>
      <c r="G6" s="12">
        <f t="shared" si="1"/>
        <v>0</v>
      </c>
      <c r="H6" s="13">
        <v>45869.0</v>
      </c>
      <c r="I6" s="14" t="s">
        <v>14</v>
      </c>
      <c r="J6" s="13">
        <v>45869.0</v>
      </c>
      <c r="K6" s="7" t="s">
        <v>283</v>
      </c>
      <c r="L6" s="9"/>
    </row>
    <row r="7">
      <c r="A7" s="7">
        <v>5.0</v>
      </c>
      <c r="B7" s="8">
        <v>9.08121008E8</v>
      </c>
      <c r="C7" s="9" t="s">
        <v>17</v>
      </c>
      <c r="D7" s="7">
        <v>2.7451623E7</v>
      </c>
      <c r="E7" s="7">
        <v>2.0</v>
      </c>
      <c r="F7" s="11">
        <v>2.0</v>
      </c>
      <c r="G7" s="12">
        <f t="shared" si="1"/>
        <v>0</v>
      </c>
      <c r="H7" s="13">
        <v>45869.0</v>
      </c>
      <c r="I7" s="14" t="s">
        <v>14</v>
      </c>
      <c r="J7" s="13">
        <v>45869.0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7">
        <v>2.7451623E7</v>
      </c>
      <c r="E8" s="7">
        <v>2.0</v>
      </c>
      <c r="F8" s="11">
        <f>1+1</f>
        <v>2</v>
      </c>
      <c r="G8" s="12">
        <f t="shared" si="1"/>
        <v>0</v>
      </c>
      <c r="H8" s="13">
        <v>45869.0</v>
      </c>
      <c r="I8" s="14" t="s">
        <v>14</v>
      </c>
      <c r="J8" s="13" t="s">
        <v>442</v>
      </c>
      <c r="K8" s="7" t="s">
        <v>283</v>
      </c>
      <c r="L8" s="9"/>
    </row>
    <row r="9">
      <c r="A9" s="7">
        <v>7.0</v>
      </c>
      <c r="B9" s="8" t="s">
        <v>25</v>
      </c>
      <c r="C9" s="9" t="s">
        <v>26</v>
      </c>
      <c r="D9" s="7">
        <v>2.7451623E7</v>
      </c>
      <c r="E9" s="7">
        <v>33.0</v>
      </c>
      <c r="F9" s="11">
        <v>33.0</v>
      </c>
      <c r="G9" s="12">
        <f t="shared" si="1"/>
        <v>0</v>
      </c>
      <c r="H9" s="13">
        <v>45873.0</v>
      </c>
      <c r="I9" s="14" t="s">
        <v>14</v>
      </c>
      <c r="J9" s="13">
        <v>45869.0</v>
      </c>
      <c r="K9" s="7" t="s">
        <v>283</v>
      </c>
      <c r="L9" s="9"/>
    </row>
    <row r="10">
      <c r="A10" s="7">
        <v>8.0</v>
      </c>
      <c r="B10" s="8" t="s">
        <v>27</v>
      </c>
      <c r="C10" s="9" t="s">
        <v>28</v>
      </c>
      <c r="D10" s="7">
        <v>2.7451623E7</v>
      </c>
      <c r="E10" s="7">
        <v>28.0</v>
      </c>
      <c r="F10" s="11">
        <v>6.0</v>
      </c>
      <c r="G10" s="12">
        <f t="shared" si="1"/>
        <v>22</v>
      </c>
      <c r="H10" s="13">
        <v>45869.0</v>
      </c>
      <c r="I10" s="14" t="s">
        <v>14</v>
      </c>
      <c r="J10" s="13">
        <v>45869.0</v>
      </c>
      <c r="K10" s="7" t="s">
        <v>283</v>
      </c>
      <c r="L10" s="9" t="s">
        <v>341</v>
      </c>
    </row>
    <row r="11">
      <c r="A11" s="7">
        <v>9.0</v>
      </c>
      <c r="B11" s="8">
        <v>9.08111101E8</v>
      </c>
      <c r="C11" s="9" t="s">
        <v>24</v>
      </c>
      <c r="D11" s="7">
        <v>2.7451623E7</v>
      </c>
      <c r="E11" s="7">
        <v>6.0</v>
      </c>
      <c r="F11" s="11">
        <v>6.0</v>
      </c>
      <c r="G11" s="12">
        <f t="shared" si="1"/>
        <v>0</v>
      </c>
      <c r="H11" s="13">
        <v>45869.0</v>
      </c>
      <c r="I11" s="14" t="s">
        <v>14</v>
      </c>
      <c r="J11" s="13">
        <v>45869.0</v>
      </c>
      <c r="K11" s="7" t="s">
        <v>283</v>
      </c>
      <c r="L11" s="9"/>
    </row>
    <row r="12">
      <c r="A12" s="7">
        <v>10.0</v>
      </c>
      <c r="B12" s="8">
        <v>9.08122011E8</v>
      </c>
      <c r="C12" s="9" t="s">
        <v>417</v>
      </c>
      <c r="D12" s="7">
        <v>2.7451623E7</v>
      </c>
      <c r="E12" s="7">
        <v>3.0</v>
      </c>
      <c r="F12" s="11">
        <v>3.0</v>
      </c>
      <c r="G12" s="12">
        <f t="shared" si="1"/>
        <v>0</v>
      </c>
      <c r="H12" s="13">
        <v>45869.0</v>
      </c>
      <c r="I12" s="14" t="s">
        <v>14</v>
      </c>
      <c r="J12" s="13">
        <v>45879.0</v>
      </c>
      <c r="K12" s="7" t="s">
        <v>283</v>
      </c>
      <c r="L12" s="9"/>
    </row>
    <row r="13">
      <c r="A13" s="7">
        <v>11.0</v>
      </c>
      <c r="B13" s="8">
        <v>9.08020201E8</v>
      </c>
      <c r="C13" s="9" t="s">
        <v>13</v>
      </c>
      <c r="D13" s="7">
        <v>2.7451623E7</v>
      </c>
      <c r="E13" s="7">
        <v>1.0</v>
      </c>
      <c r="F13" s="11"/>
      <c r="G13" s="12">
        <f t="shared" si="1"/>
        <v>1</v>
      </c>
      <c r="H13" s="13">
        <v>45869.0</v>
      </c>
      <c r="I13" s="14" t="s">
        <v>14</v>
      </c>
      <c r="J13" s="13"/>
      <c r="K13" s="7"/>
      <c r="L13" s="9"/>
    </row>
    <row r="14">
      <c r="A14" s="7">
        <v>12.0</v>
      </c>
      <c r="B14" s="8">
        <v>9.08421031E8</v>
      </c>
      <c r="C14" s="20" t="s">
        <v>122</v>
      </c>
      <c r="D14" s="10">
        <v>2.8169561E7</v>
      </c>
      <c r="E14" s="7">
        <v>2.0</v>
      </c>
      <c r="F14" s="11">
        <v>2.0</v>
      </c>
      <c r="G14" s="12">
        <f t="shared" si="1"/>
        <v>0</v>
      </c>
      <c r="H14" s="13">
        <v>45994.0</v>
      </c>
      <c r="I14" s="14" t="s">
        <v>14</v>
      </c>
      <c r="J14" s="13">
        <v>45995.0</v>
      </c>
      <c r="K14" s="7" t="s">
        <v>16</v>
      </c>
      <c r="L14" s="9"/>
    </row>
    <row r="15">
      <c r="A15" s="7">
        <v>13.0</v>
      </c>
      <c r="B15" s="8">
        <v>9.08402208E8</v>
      </c>
      <c r="C15" s="9" t="s">
        <v>111</v>
      </c>
      <c r="D15" s="10">
        <v>2.8169561E7</v>
      </c>
      <c r="E15" s="7">
        <v>4.0</v>
      </c>
      <c r="F15" s="11">
        <v>4.0</v>
      </c>
      <c r="G15" s="12">
        <f t="shared" si="1"/>
        <v>0</v>
      </c>
      <c r="H15" s="13">
        <v>45994.0</v>
      </c>
      <c r="I15" s="14" t="s">
        <v>14</v>
      </c>
      <c r="J15" s="13">
        <v>45995.0</v>
      </c>
      <c r="K15" s="7" t="s">
        <v>16</v>
      </c>
      <c r="L15" s="9"/>
    </row>
    <row r="16">
      <c r="A16" s="7">
        <v>14.0</v>
      </c>
      <c r="B16" s="8">
        <v>9.08122003E8</v>
      </c>
      <c r="C16" s="9" t="s">
        <v>368</v>
      </c>
      <c r="D16" s="10">
        <v>2.8169561E7</v>
      </c>
      <c r="E16" s="7">
        <v>16.0</v>
      </c>
      <c r="F16" s="11"/>
      <c r="G16" s="12">
        <f t="shared" si="1"/>
        <v>16</v>
      </c>
      <c r="H16" s="13">
        <v>45994.0</v>
      </c>
      <c r="I16" s="14" t="s">
        <v>14</v>
      </c>
      <c r="J16" s="13"/>
      <c r="K16" s="7"/>
      <c r="L16" s="9"/>
    </row>
    <row r="17">
      <c r="A17" s="7">
        <v>15.0</v>
      </c>
      <c r="B17" s="8">
        <v>9.08111101E8</v>
      </c>
      <c r="C17" s="9" t="s">
        <v>24</v>
      </c>
      <c r="D17" s="10">
        <v>2.8169561E7</v>
      </c>
      <c r="E17" s="7">
        <v>4.0</v>
      </c>
      <c r="F17" s="11">
        <v>4.0</v>
      </c>
      <c r="G17" s="12">
        <f t="shared" si="1"/>
        <v>0</v>
      </c>
      <c r="H17" s="13">
        <v>45994.0</v>
      </c>
      <c r="I17" s="14" t="s">
        <v>14</v>
      </c>
      <c r="J17" s="13">
        <v>45995.0</v>
      </c>
      <c r="K17" s="7" t="s">
        <v>16</v>
      </c>
      <c r="L17" s="9"/>
    </row>
    <row r="18">
      <c r="A18" s="7">
        <v>16.0</v>
      </c>
      <c r="B18" s="8">
        <v>9.0812201E8</v>
      </c>
      <c r="C18" s="9" t="s">
        <v>80</v>
      </c>
      <c r="D18" s="10">
        <v>2.8169561E7</v>
      </c>
      <c r="E18" s="7">
        <v>8.0</v>
      </c>
      <c r="F18" s="11"/>
      <c r="G18" s="12">
        <f t="shared" si="1"/>
        <v>8</v>
      </c>
      <c r="H18" s="13">
        <v>45994.0</v>
      </c>
      <c r="I18" s="14" t="s">
        <v>14</v>
      </c>
      <c r="J18" s="13"/>
      <c r="K18" s="7"/>
      <c r="L18" s="9"/>
    </row>
    <row r="19">
      <c r="A19" s="7">
        <v>17.0</v>
      </c>
      <c r="B19" s="8">
        <v>9.08202189E8</v>
      </c>
      <c r="C19" s="9" t="s">
        <v>55</v>
      </c>
      <c r="D19" s="10">
        <v>2.8169561E7</v>
      </c>
      <c r="E19" s="7">
        <v>2.0</v>
      </c>
      <c r="F19" s="11">
        <v>2.0</v>
      </c>
      <c r="G19" s="12">
        <f t="shared" si="1"/>
        <v>0</v>
      </c>
      <c r="H19" s="13">
        <v>45998.0</v>
      </c>
      <c r="I19" s="14" t="s">
        <v>14</v>
      </c>
      <c r="J19" s="13">
        <v>45995.0</v>
      </c>
      <c r="K19" s="7" t="s">
        <v>16</v>
      </c>
      <c r="L19" s="9"/>
    </row>
    <row r="20">
      <c r="A20" s="7">
        <v>18.0</v>
      </c>
      <c r="B20" s="8" t="s">
        <v>20</v>
      </c>
      <c r="C20" s="9" t="s">
        <v>21</v>
      </c>
      <c r="D20" s="10">
        <v>2.8169561E7</v>
      </c>
      <c r="E20" s="7">
        <v>2.0</v>
      </c>
      <c r="F20" s="11">
        <v>2.0</v>
      </c>
      <c r="G20" s="12">
        <f t="shared" si="1"/>
        <v>0</v>
      </c>
      <c r="H20" s="13">
        <v>45994.0</v>
      </c>
      <c r="I20" s="14" t="s">
        <v>14</v>
      </c>
      <c r="J20" s="13">
        <v>45995.0</v>
      </c>
      <c r="K20" s="7" t="s">
        <v>16</v>
      </c>
      <c r="L20" s="9"/>
    </row>
    <row r="21" ht="15.75" customHeight="1">
      <c r="A21" s="7">
        <v>19.0</v>
      </c>
      <c r="B21" s="8">
        <v>9.0820203E8</v>
      </c>
      <c r="C21" s="9" t="s">
        <v>19</v>
      </c>
      <c r="D21" s="10">
        <v>2.8169561E7</v>
      </c>
      <c r="E21" s="7">
        <v>6.0</v>
      </c>
      <c r="F21" s="11"/>
      <c r="G21" s="12">
        <f t="shared" si="1"/>
        <v>6</v>
      </c>
      <c r="H21" s="13">
        <v>45994.0</v>
      </c>
      <c r="I21" s="14" t="s">
        <v>14</v>
      </c>
      <c r="J21" s="13"/>
      <c r="K21" s="7"/>
      <c r="L21" s="9"/>
    </row>
    <row r="22" ht="15.75" customHeight="1">
      <c r="A22" s="7">
        <v>20.0</v>
      </c>
      <c r="B22" s="8">
        <v>9.08371013E8</v>
      </c>
      <c r="C22" s="9" t="s">
        <v>364</v>
      </c>
      <c r="D22" s="10">
        <v>2.8169561E7</v>
      </c>
      <c r="E22" s="7">
        <v>4.0</v>
      </c>
      <c r="F22" s="11">
        <v>4.0</v>
      </c>
      <c r="G22" s="12">
        <f t="shared" si="1"/>
        <v>0</v>
      </c>
      <c r="H22" s="13">
        <v>45994.0</v>
      </c>
      <c r="I22" s="14" t="s">
        <v>14</v>
      </c>
      <c r="J22" s="13">
        <v>45995.0</v>
      </c>
      <c r="K22" s="7" t="s">
        <v>16</v>
      </c>
      <c r="L22" s="9"/>
    </row>
    <row r="23" ht="15.75" customHeight="1">
      <c r="A23" s="7">
        <v>21.0</v>
      </c>
      <c r="B23" s="8">
        <v>9.08020201E8</v>
      </c>
      <c r="C23" s="9" t="s">
        <v>13</v>
      </c>
      <c r="D23" s="10">
        <v>2.8169561E7</v>
      </c>
      <c r="E23" s="7">
        <v>2.0</v>
      </c>
      <c r="F23" s="11"/>
      <c r="G23" s="12">
        <f t="shared" si="1"/>
        <v>2</v>
      </c>
      <c r="H23" s="13">
        <v>45998.0</v>
      </c>
      <c r="I23" s="14" t="s">
        <v>14</v>
      </c>
      <c r="J23" s="13"/>
      <c r="K23" s="7"/>
      <c r="L23" s="9"/>
    </row>
    <row r="24" ht="15.75" customHeight="1">
      <c r="A24" s="7"/>
      <c r="B24" s="8"/>
      <c r="C24" s="9"/>
      <c r="D24" s="10"/>
      <c r="E24" s="7"/>
      <c r="F24" s="11"/>
      <c r="G24" s="12"/>
      <c r="H24" s="13"/>
      <c r="I24" s="14"/>
      <c r="J24" s="13"/>
      <c r="K24" s="7"/>
      <c r="L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9.08121009E8</v>
      </c>
      <c r="C3" s="9" t="s">
        <v>444</v>
      </c>
      <c r="D3" s="7">
        <v>2.7466401E7</v>
      </c>
      <c r="E3" s="7">
        <v>1.0</v>
      </c>
      <c r="F3" s="11">
        <v>1.0</v>
      </c>
      <c r="G3" s="12">
        <f t="shared" ref="G3:G14" si="1">E3-F3</f>
        <v>0</v>
      </c>
      <c r="H3" s="13">
        <v>45865.0</v>
      </c>
      <c r="I3" s="14" t="s">
        <v>14</v>
      </c>
      <c r="J3" s="13">
        <v>45873.0</v>
      </c>
      <c r="K3" s="7" t="s">
        <v>283</v>
      </c>
      <c r="L3" s="9" t="s">
        <v>341</v>
      </c>
    </row>
    <row r="4">
      <c r="A4" s="7">
        <v>2.0</v>
      </c>
      <c r="B4" s="8" t="s">
        <v>445</v>
      </c>
      <c r="C4" s="9" t="s">
        <v>446</v>
      </c>
      <c r="D4" s="7">
        <v>2.7466401E7</v>
      </c>
      <c r="E4" s="7">
        <v>4.0</v>
      </c>
      <c r="F4" s="11">
        <v>4.0</v>
      </c>
      <c r="G4" s="12">
        <f t="shared" si="1"/>
        <v>0</v>
      </c>
      <c r="H4" s="13">
        <v>45865.0</v>
      </c>
      <c r="I4" s="14" t="s">
        <v>14</v>
      </c>
      <c r="J4" s="13">
        <v>45873.0</v>
      </c>
      <c r="K4" s="7" t="s">
        <v>283</v>
      </c>
      <c r="L4" s="9"/>
    </row>
    <row r="5">
      <c r="A5" s="7">
        <v>3.0</v>
      </c>
      <c r="B5" s="8">
        <v>9.08122035E8</v>
      </c>
      <c r="C5" s="29" t="s">
        <v>235</v>
      </c>
      <c r="D5" s="7">
        <v>2.7466401E7</v>
      </c>
      <c r="E5" s="7">
        <v>4.0</v>
      </c>
      <c r="F5" s="11">
        <v>4.0</v>
      </c>
      <c r="G5" s="12">
        <f t="shared" si="1"/>
        <v>0</v>
      </c>
      <c r="H5" s="13">
        <v>45865.0</v>
      </c>
      <c r="I5" s="14" t="s">
        <v>14</v>
      </c>
      <c r="J5" s="13">
        <v>45873.0</v>
      </c>
      <c r="K5" s="7" t="s">
        <v>283</v>
      </c>
      <c r="L5" s="9"/>
    </row>
    <row r="6">
      <c r="A6" s="7">
        <v>4.0</v>
      </c>
      <c r="B6" s="19" t="s">
        <v>20</v>
      </c>
      <c r="C6" s="20" t="s">
        <v>21</v>
      </c>
      <c r="D6" s="7">
        <v>2.7466401E7</v>
      </c>
      <c r="E6" s="7">
        <v>1.0</v>
      </c>
      <c r="F6" s="11">
        <v>1.0</v>
      </c>
      <c r="G6" s="12">
        <f t="shared" si="1"/>
        <v>0</v>
      </c>
      <c r="H6" s="13">
        <v>45865.0</v>
      </c>
      <c r="I6" s="14" t="s">
        <v>14</v>
      </c>
      <c r="J6" s="13">
        <v>45873.0</v>
      </c>
      <c r="K6" s="7" t="s">
        <v>283</v>
      </c>
      <c r="L6" s="9"/>
    </row>
    <row r="7">
      <c r="A7" s="7">
        <v>5.0</v>
      </c>
      <c r="B7" s="8">
        <v>9.08202189E8</v>
      </c>
      <c r="C7" s="9" t="s">
        <v>423</v>
      </c>
      <c r="D7" s="7">
        <v>2.7466401E7</v>
      </c>
      <c r="E7" s="7">
        <v>1.0</v>
      </c>
      <c r="F7" s="11">
        <v>1.0</v>
      </c>
      <c r="G7" s="12">
        <f t="shared" si="1"/>
        <v>0</v>
      </c>
      <c r="H7" s="13">
        <v>45865.0</v>
      </c>
      <c r="I7" s="14" t="s">
        <v>14</v>
      </c>
      <c r="J7" s="13">
        <v>45873.0</v>
      </c>
      <c r="K7" s="7" t="s">
        <v>283</v>
      </c>
      <c r="L7" s="9"/>
    </row>
    <row r="8">
      <c r="A8" s="7">
        <v>6.0</v>
      </c>
      <c r="B8" s="102">
        <v>9.08402206E8</v>
      </c>
      <c r="C8" s="103" t="s">
        <v>234</v>
      </c>
      <c r="D8" s="7">
        <v>2.7466401E7</v>
      </c>
      <c r="E8" s="7">
        <v>1.0</v>
      </c>
      <c r="F8" s="11">
        <v>1.0</v>
      </c>
      <c r="G8" s="12">
        <f t="shared" si="1"/>
        <v>0</v>
      </c>
      <c r="H8" s="13">
        <v>45865.0</v>
      </c>
      <c r="I8" s="14" t="s">
        <v>14</v>
      </c>
      <c r="J8" s="13">
        <v>45873.0</v>
      </c>
      <c r="K8" s="7" t="s">
        <v>283</v>
      </c>
      <c r="L8" s="9"/>
    </row>
    <row r="9">
      <c r="A9" s="7">
        <v>7.0</v>
      </c>
      <c r="B9" s="8">
        <v>9.08421005E8</v>
      </c>
      <c r="C9" s="29" t="s">
        <v>315</v>
      </c>
      <c r="D9" s="7">
        <v>2.7466401E7</v>
      </c>
      <c r="E9" s="7">
        <v>1.0</v>
      </c>
      <c r="F9" s="11">
        <v>1.0</v>
      </c>
      <c r="G9" s="12">
        <f t="shared" si="1"/>
        <v>0</v>
      </c>
      <c r="H9" s="13">
        <v>45865.0</v>
      </c>
      <c r="I9" s="14" t="s">
        <v>14</v>
      </c>
      <c r="J9" s="13">
        <v>45873.0</v>
      </c>
      <c r="K9" s="7" t="s">
        <v>283</v>
      </c>
      <c r="L9" s="9"/>
    </row>
    <row r="10">
      <c r="A10" s="7">
        <v>8.0</v>
      </c>
      <c r="B10" s="8">
        <v>9.08501001E8</v>
      </c>
      <c r="C10" s="9" t="s">
        <v>447</v>
      </c>
      <c r="D10" s="7">
        <v>2.7466401E7</v>
      </c>
      <c r="E10" s="7">
        <v>3.0</v>
      </c>
      <c r="F10" s="11">
        <v>6.0</v>
      </c>
      <c r="G10" s="12">
        <f t="shared" si="1"/>
        <v>-3</v>
      </c>
      <c r="H10" s="13">
        <v>45865.0</v>
      </c>
      <c r="I10" s="14" t="s">
        <v>14</v>
      </c>
      <c r="J10" s="13">
        <v>45873.0</v>
      </c>
      <c r="K10" s="7" t="s">
        <v>283</v>
      </c>
      <c r="L10" s="9"/>
    </row>
    <row r="11">
      <c r="A11" s="7">
        <v>9.0</v>
      </c>
      <c r="B11" s="8">
        <v>9.0820203E8</v>
      </c>
      <c r="C11" s="9" t="s">
        <v>19</v>
      </c>
      <c r="D11" s="7">
        <v>2.7466401E7</v>
      </c>
      <c r="E11" s="7">
        <v>1.0</v>
      </c>
      <c r="F11" s="11">
        <v>1.0</v>
      </c>
      <c r="G11" s="12">
        <f t="shared" si="1"/>
        <v>0</v>
      </c>
      <c r="H11" s="13">
        <v>45865.0</v>
      </c>
      <c r="I11" s="14" t="s">
        <v>14</v>
      </c>
      <c r="J11" s="13">
        <v>45873.0</v>
      </c>
      <c r="K11" s="7" t="s">
        <v>283</v>
      </c>
      <c r="L11" s="9"/>
    </row>
    <row r="12">
      <c r="A12" s="7">
        <v>10.0</v>
      </c>
      <c r="B12" s="8">
        <v>9.08111006E8</v>
      </c>
      <c r="C12" s="9" t="s">
        <v>71</v>
      </c>
      <c r="D12" s="7">
        <v>2.7466401E7</v>
      </c>
      <c r="E12" s="7">
        <v>8.0</v>
      </c>
      <c r="F12" s="11">
        <v>8.0</v>
      </c>
      <c r="G12" s="12">
        <f t="shared" si="1"/>
        <v>0</v>
      </c>
      <c r="H12" s="13">
        <v>45865.0</v>
      </c>
      <c r="I12" s="14" t="s">
        <v>14</v>
      </c>
      <c r="J12" s="13">
        <v>45873.0</v>
      </c>
      <c r="K12" s="7" t="s">
        <v>283</v>
      </c>
      <c r="L12" s="9"/>
    </row>
    <row r="13">
      <c r="A13" s="7">
        <v>11.0</v>
      </c>
      <c r="B13" s="8">
        <v>9.08111101E8</v>
      </c>
      <c r="C13" s="9" t="s">
        <v>24</v>
      </c>
      <c r="D13" s="7">
        <v>2.7466401E7</v>
      </c>
      <c r="E13" s="7">
        <v>2.0</v>
      </c>
      <c r="F13" s="11">
        <v>2.0</v>
      </c>
      <c r="G13" s="12">
        <f t="shared" si="1"/>
        <v>0</v>
      </c>
      <c r="H13" s="13">
        <v>45865.0</v>
      </c>
      <c r="I13" s="14" t="s">
        <v>14</v>
      </c>
      <c r="J13" s="13">
        <v>45873.0</v>
      </c>
      <c r="K13" s="7" t="s">
        <v>283</v>
      </c>
      <c r="L13" s="9"/>
    </row>
    <row r="14">
      <c r="A14" s="7">
        <v>12.0</v>
      </c>
      <c r="B14" s="8">
        <v>9.08375E8</v>
      </c>
      <c r="C14" s="9" t="s">
        <v>448</v>
      </c>
      <c r="D14" s="7">
        <v>2.7466401E7</v>
      </c>
      <c r="E14" s="7">
        <v>1.0</v>
      </c>
      <c r="F14" s="11">
        <v>1.0</v>
      </c>
      <c r="G14" s="12">
        <f t="shared" si="1"/>
        <v>0</v>
      </c>
      <c r="H14" s="13">
        <v>45865.0</v>
      </c>
      <c r="I14" s="14" t="s">
        <v>14</v>
      </c>
      <c r="J14" s="13">
        <v>45873.0</v>
      </c>
      <c r="K14" s="7" t="s">
        <v>283</v>
      </c>
      <c r="L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9.0812101E8</v>
      </c>
      <c r="C3" s="29" t="s">
        <v>450</v>
      </c>
      <c r="D3" s="7">
        <v>2.7438328E7</v>
      </c>
      <c r="E3" s="7">
        <v>1.0</v>
      </c>
      <c r="F3" s="11">
        <v>1.0</v>
      </c>
      <c r="G3" s="12">
        <f t="shared" ref="G3:G14" si="1">E3-F3</f>
        <v>0</v>
      </c>
      <c r="H3" s="13">
        <v>45861.0</v>
      </c>
      <c r="I3" s="14" t="s">
        <v>14</v>
      </c>
      <c r="J3" s="13">
        <v>45901.0</v>
      </c>
      <c r="K3" s="7" t="s">
        <v>283</v>
      </c>
      <c r="L3" s="9" t="s">
        <v>341</v>
      </c>
    </row>
    <row r="4">
      <c r="A4" s="7">
        <v>2.0</v>
      </c>
      <c r="B4" s="8">
        <v>9.08111007E8</v>
      </c>
      <c r="C4" s="9" t="s">
        <v>451</v>
      </c>
      <c r="D4" s="7">
        <v>2.7438328E7</v>
      </c>
      <c r="E4" s="7">
        <v>285.0</v>
      </c>
      <c r="F4" s="11">
        <v>255.0</v>
      </c>
      <c r="G4" s="12">
        <f t="shared" si="1"/>
        <v>30</v>
      </c>
      <c r="H4" s="13">
        <v>45861.0</v>
      </c>
      <c r="I4" s="14" t="s">
        <v>14</v>
      </c>
      <c r="J4" s="13">
        <v>45879.0</v>
      </c>
      <c r="K4" s="7" t="s">
        <v>283</v>
      </c>
      <c r="L4" s="9"/>
    </row>
    <row r="5">
      <c r="A5" s="7">
        <v>3.0</v>
      </c>
      <c r="B5" s="8">
        <v>9.08421005E8</v>
      </c>
      <c r="C5" s="29" t="s">
        <v>315</v>
      </c>
      <c r="D5" s="7">
        <v>2.7639901E7</v>
      </c>
      <c r="E5" s="7">
        <v>1.0</v>
      </c>
      <c r="F5" s="11">
        <v>1.0</v>
      </c>
      <c r="G5" s="12">
        <f t="shared" si="1"/>
        <v>0</v>
      </c>
      <c r="H5" s="13">
        <v>45900.0</v>
      </c>
      <c r="I5" s="14" t="s">
        <v>14</v>
      </c>
      <c r="J5" s="13">
        <v>45900.0</v>
      </c>
      <c r="K5" s="7" t="s">
        <v>283</v>
      </c>
      <c r="L5" s="9"/>
    </row>
    <row r="6">
      <c r="A6" s="7">
        <v>4.0</v>
      </c>
      <c r="B6" s="8">
        <v>9.08375E8</v>
      </c>
      <c r="C6" s="9" t="s">
        <v>448</v>
      </c>
      <c r="D6" s="7">
        <v>2.7639901E7</v>
      </c>
      <c r="E6" s="7">
        <v>1.0</v>
      </c>
      <c r="F6" s="11">
        <v>1.0</v>
      </c>
      <c r="G6" s="12">
        <f t="shared" si="1"/>
        <v>0</v>
      </c>
      <c r="H6" s="13">
        <v>45900.0</v>
      </c>
      <c r="I6" s="14" t="s">
        <v>14</v>
      </c>
      <c r="J6" s="13">
        <v>45900.0</v>
      </c>
      <c r="K6" s="7" t="s">
        <v>283</v>
      </c>
      <c r="L6" s="9"/>
    </row>
    <row r="7">
      <c r="A7" s="7">
        <v>5.0</v>
      </c>
      <c r="B7" s="8">
        <v>9.08402206E8</v>
      </c>
      <c r="C7" s="9" t="s">
        <v>82</v>
      </c>
      <c r="D7" s="7">
        <v>2.7639901E7</v>
      </c>
      <c r="E7" s="7">
        <v>1.0</v>
      </c>
      <c r="F7" s="11">
        <v>1.0</v>
      </c>
      <c r="G7" s="12">
        <f t="shared" si="1"/>
        <v>0</v>
      </c>
      <c r="H7" s="13">
        <v>45900.0</v>
      </c>
      <c r="I7" s="14" t="s">
        <v>14</v>
      </c>
      <c r="J7" s="13">
        <v>45900.0</v>
      </c>
      <c r="K7" s="7" t="s">
        <v>283</v>
      </c>
      <c r="L7" s="9"/>
    </row>
    <row r="8">
      <c r="A8" s="7">
        <v>6.0</v>
      </c>
      <c r="B8" s="8">
        <v>9.08122008E8</v>
      </c>
      <c r="C8" s="29" t="s">
        <v>79</v>
      </c>
      <c r="D8" s="7">
        <v>2.7639901E7</v>
      </c>
      <c r="E8" s="7">
        <v>4.0</v>
      </c>
      <c r="F8" s="11">
        <v>4.0</v>
      </c>
      <c r="G8" s="12">
        <f t="shared" si="1"/>
        <v>0</v>
      </c>
      <c r="H8" s="13">
        <v>45900.0</v>
      </c>
      <c r="I8" s="14" t="s">
        <v>14</v>
      </c>
      <c r="J8" s="13">
        <v>45900.0</v>
      </c>
      <c r="K8" s="7" t="s">
        <v>283</v>
      </c>
      <c r="L8" s="9"/>
    </row>
    <row r="9">
      <c r="A9" s="7">
        <v>7.0</v>
      </c>
      <c r="B9" s="8">
        <v>9.08111101E8</v>
      </c>
      <c r="C9" s="9" t="s">
        <v>452</v>
      </c>
      <c r="D9" s="7">
        <v>2.7639901E7</v>
      </c>
      <c r="E9" s="7">
        <v>2.0</v>
      </c>
      <c r="F9" s="11">
        <v>2.0</v>
      </c>
      <c r="G9" s="12">
        <f t="shared" si="1"/>
        <v>0</v>
      </c>
      <c r="H9" s="13">
        <v>45900.0</v>
      </c>
      <c r="I9" s="14" t="s">
        <v>14</v>
      </c>
      <c r="J9" s="13">
        <v>45900.0</v>
      </c>
      <c r="K9" s="7" t="s">
        <v>283</v>
      </c>
      <c r="L9" s="9"/>
    </row>
    <row r="10">
      <c r="A10" s="7">
        <v>8.0</v>
      </c>
      <c r="B10" s="8">
        <v>9.08202189E8</v>
      </c>
      <c r="C10" s="9" t="s">
        <v>453</v>
      </c>
      <c r="D10" s="7">
        <v>2.7639901E7</v>
      </c>
      <c r="E10" s="7">
        <v>1.0</v>
      </c>
      <c r="F10" s="11">
        <v>6.0</v>
      </c>
      <c r="G10" s="12">
        <f t="shared" si="1"/>
        <v>-5</v>
      </c>
      <c r="H10" s="13">
        <v>45900.0</v>
      </c>
      <c r="I10" s="14" t="s">
        <v>14</v>
      </c>
      <c r="J10" s="13">
        <v>45900.0</v>
      </c>
      <c r="K10" s="7" t="s">
        <v>283</v>
      </c>
      <c r="L10" s="9"/>
    </row>
    <row r="11">
      <c r="A11" s="7">
        <v>9.0</v>
      </c>
      <c r="B11" s="8">
        <v>9.0820203E8</v>
      </c>
      <c r="C11" s="9" t="s">
        <v>454</v>
      </c>
      <c r="D11" s="7">
        <v>2.7639901E7</v>
      </c>
      <c r="E11" s="7">
        <v>2.0</v>
      </c>
      <c r="F11" s="11">
        <v>2.0</v>
      </c>
      <c r="G11" s="12">
        <f t="shared" si="1"/>
        <v>0</v>
      </c>
      <c r="H11" s="13">
        <v>45900.0</v>
      </c>
      <c r="I11" s="14" t="s">
        <v>14</v>
      </c>
      <c r="J11" s="13">
        <v>45900.0</v>
      </c>
      <c r="K11" s="7" t="s">
        <v>283</v>
      </c>
      <c r="L11" s="9"/>
    </row>
    <row r="12">
      <c r="A12" s="7">
        <v>10.0</v>
      </c>
      <c r="B12" s="8">
        <v>9.08202054E8</v>
      </c>
      <c r="C12" s="9" t="s">
        <v>455</v>
      </c>
      <c r="D12" s="7">
        <v>2.7639901E7</v>
      </c>
      <c r="E12" s="7">
        <v>1.0</v>
      </c>
      <c r="F12" s="11">
        <v>1.0</v>
      </c>
      <c r="G12" s="12">
        <f t="shared" si="1"/>
        <v>0</v>
      </c>
      <c r="H12" s="13">
        <v>45900.0</v>
      </c>
      <c r="I12" s="14" t="s">
        <v>14</v>
      </c>
      <c r="J12" s="13">
        <v>45900.0</v>
      </c>
      <c r="K12" s="7" t="s">
        <v>283</v>
      </c>
      <c r="L12" s="9"/>
    </row>
    <row r="13">
      <c r="A13" s="7">
        <v>11.0</v>
      </c>
      <c r="B13" s="8">
        <v>9.08122035E8</v>
      </c>
      <c r="C13" s="29" t="s">
        <v>235</v>
      </c>
      <c r="D13" s="7">
        <v>2.7639901E7</v>
      </c>
      <c r="E13" s="7">
        <v>4.0</v>
      </c>
      <c r="F13" s="11">
        <v>4.0</v>
      </c>
      <c r="G13" s="12">
        <f t="shared" si="1"/>
        <v>0</v>
      </c>
      <c r="H13" s="13">
        <v>45900.0</v>
      </c>
      <c r="I13" s="14" t="s">
        <v>14</v>
      </c>
      <c r="J13" s="13">
        <v>45900.0</v>
      </c>
      <c r="K13" s="7" t="s">
        <v>283</v>
      </c>
      <c r="L13" s="9"/>
    </row>
    <row r="14">
      <c r="A14" s="7">
        <v>12.0</v>
      </c>
      <c r="B14" s="8">
        <v>9.08501001E8</v>
      </c>
      <c r="C14" s="9" t="s">
        <v>447</v>
      </c>
      <c r="D14" s="7">
        <v>2.7639901E7</v>
      </c>
      <c r="E14" s="7">
        <v>3.0</v>
      </c>
      <c r="F14" s="11">
        <v>3.0</v>
      </c>
      <c r="G14" s="12">
        <f t="shared" si="1"/>
        <v>0</v>
      </c>
      <c r="H14" s="13">
        <v>45900.0</v>
      </c>
      <c r="I14" s="14" t="s">
        <v>14</v>
      </c>
      <c r="J14" s="13">
        <v>45900.0</v>
      </c>
      <c r="K14" s="7" t="s">
        <v>283</v>
      </c>
      <c r="L14" s="9"/>
    </row>
    <row r="15">
      <c r="A15" s="7"/>
      <c r="B15" s="8"/>
      <c r="C15" s="29"/>
      <c r="D15" s="7"/>
      <c r="E15" s="7"/>
      <c r="F15" s="11"/>
      <c r="G15" s="12"/>
      <c r="H15" s="13"/>
      <c r="I15" s="14"/>
      <c r="J15" s="13"/>
      <c r="K15" s="7"/>
      <c r="L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9.08421006E8</v>
      </c>
      <c r="C3" s="9" t="s">
        <v>457</v>
      </c>
      <c r="D3" s="7">
        <v>2.7445971E7</v>
      </c>
      <c r="E3" s="7">
        <v>1.0</v>
      </c>
      <c r="F3" s="11">
        <v>1.0</v>
      </c>
      <c r="G3" s="12">
        <f t="shared" ref="G3:G14" si="1">E3-F3</f>
        <v>0</v>
      </c>
      <c r="H3" s="13">
        <v>45861.0</v>
      </c>
      <c r="I3" s="14" t="s">
        <v>14</v>
      </c>
      <c r="J3" s="13">
        <v>45865.0</v>
      </c>
      <c r="K3" s="7" t="s">
        <v>408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9.08501002E8</v>
      </c>
      <c r="C4" s="9" t="s">
        <v>458</v>
      </c>
      <c r="D4" s="7">
        <v>2.7445971E7</v>
      </c>
      <c r="E4" s="7">
        <v>3.0</v>
      </c>
      <c r="F4" s="11">
        <v>3.0</v>
      </c>
      <c r="G4" s="12">
        <f t="shared" si="1"/>
        <v>0</v>
      </c>
      <c r="H4" s="13">
        <v>45861.0</v>
      </c>
      <c r="I4" s="14" t="s">
        <v>14</v>
      </c>
      <c r="J4" s="13">
        <v>45865.0</v>
      </c>
      <c r="K4" s="7" t="s">
        <v>408</v>
      </c>
      <c r="L4" s="9"/>
    </row>
    <row r="5">
      <c r="A5" s="7">
        <v>3.0</v>
      </c>
      <c r="B5" s="8">
        <v>9.08375001E8</v>
      </c>
      <c r="C5" s="9" t="s">
        <v>459</v>
      </c>
      <c r="D5" s="7">
        <v>2.7445971E7</v>
      </c>
      <c r="E5" s="7">
        <v>1.0</v>
      </c>
      <c r="F5" s="11">
        <v>1.0</v>
      </c>
      <c r="G5" s="12">
        <f t="shared" si="1"/>
        <v>0</v>
      </c>
      <c r="H5" s="13">
        <v>45861.0</v>
      </c>
      <c r="I5" s="14" t="s">
        <v>14</v>
      </c>
      <c r="J5" s="13">
        <v>45865.0</v>
      </c>
      <c r="K5" s="7" t="s">
        <v>408</v>
      </c>
      <c r="L5" s="9"/>
    </row>
    <row r="6">
      <c r="A6" s="7">
        <v>4.0</v>
      </c>
      <c r="B6" s="8">
        <v>9.08202189E8</v>
      </c>
      <c r="C6" s="9" t="s">
        <v>453</v>
      </c>
      <c r="D6" s="7">
        <v>2.7445971E7</v>
      </c>
      <c r="E6" s="7">
        <v>1.0</v>
      </c>
      <c r="F6" s="11">
        <v>1.0</v>
      </c>
      <c r="G6" s="12">
        <f t="shared" si="1"/>
        <v>0</v>
      </c>
      <c r="H6" s="13">
        <v>45861.0</v>
      </c>
      <c r="I6" s="14" t="s">
        <v>14</v>
      </c>
      <c r="J6" s="13">
        <v>45865.0</v>
      </c>
      <c r="K6" s="7" t="s">
        <v>408</v>
      </c>
      <c r="L6" s="9"/>
    </row>
    <row r="7">
      <c r="A7" s="7">
        <v>5.0</v>
      </c>
      <c r="B7" s="8">
        <v>9.0820203E8</v>
      </c>
      <c r="C7" s="9" t="s">
        <v>454</v>
      </c>
      <c r="D7" s="7">
        <v>2.7445971E7</v>
      </c>
      <c r="E7" s="7">
        <v>1.0</v>
      </c>
      <c r="F7" s="11">
        <v>2.0</v>
      </c>
      <c r="G7" s="12">
        <f t="shared" si="1"/>
        <v>-1</v>
      </c>
      <c r="H7" s="13">
        <v>45865.0</v>
      </c>
      <c r="I7" s="14" t="s">
        <v>14</v>
      </c>
      <c r="J7" s="13">
        <v>45865.0</v>
      </c>
      <c r="K7" s="7" t="s">
        <v>408</v>
      </c>
      <c r="L7" s="9"/>
    </row>
    <row r="8">
      <c r="A8" s="7">
        <v>6.0</v>
      </c>
      <c r="B8" s="8">
        <v>9.08122037E8</v>
      </c>
      <c r="C8" s="29" t="s">
        <v>460</v>
      </c>
      <c r="D8" s="7">
        <v>2.7445971E7</v>
      </c>
      <c r="E8" s="7">
        <v>4.0</v>
      </c>
      <c r="F8" s="11">
        <v>4.0</v>
      </c>
      <c r="G8" s="12">
        <f t="shared" si="1"/>
        <v>0</v>
      </c>
      <c r="H8" s="13">
        <v>45861.0</v>
      </c>
      <c r="I8" s="14" t="s">
        <v>14</v>
      </c>
      <c r="J8" s="13">
        <v>45865.0</v>
      </c>
      <c r="K8" s="7" t="s">
        <v>408</v>
      </c>
      <c r="L8" s="9"/>
    </row>
    <row r="9">
      <c r="A9" s="7">
        <v>7.0</v>
      </c>
      <c r="B9" s="8">
        <v>9.08122008E8</v>
      </c>
      <c r="C9" s="29" t="s">
        <v>79</v>
      </c>
      <c r="D9" s="7">
        <v>2.7445971E7</v>
      </c>
      <c r="E9" s="7">
        <v>4.0</v>
      </c>
      <c r="F9" s="11"/>
      <c r="G9" s="12">
        <f t="shared" si="1"/>
        <v>4</v>
      </c>
      <c r="H9" s="13">
        <v>45861.0</v>
      </c>
      <c r="I9" s="14" t="s">
        <v>14</v>
      </c>
      <c r="J9" s="13"/>
      <c r="K9" s="7"/>
      <c r="L9" s="9"/>
    </row>
    <row r="10">
      <c r="A10" s="7">
        <v>8.0</v>
      </c>
      <c r="B10" s="8">
        <v>9.0812101E8</v>
      </c>
      <c r="C10" s="29" t="s">
        <v>450</v>
      </c>
      <c r="D10" s="7">
        <v>2.7445971E7</v>
      </c>
      <c r="E10" s="7">
        <v>1.0</v>
      </c>
      <c r="F10" s="11">
        <v>6.0</v>
      </c>
      <c r="G10" s="12">
        <f t="shared" si="1"/>
        <v>-5</v>
      </c>
      <c r="H10" s="13">
        <v>45861.0</v>
      </c>
      <c r="I10" s="14" t="s">
        <v>14</v>
      </c>
      <c r="J10" s="13">
        <v>45865.0</v>
      </c>
      <c r="K10" s="7" t="s">
        <v>408</v>
      </c>
      <c r="L10" s="9" t="s">
        <v>341</v>
      </c>
    </row>
    <row r="11">
      <c r="A11" s="7">
        <v>9.0</v>
      </c>
      <c r="B11" s="8">
        <v>9.08202054E8</v>
      </c>
      <c r="C11" s="9" t="s">
        <v>455</v>
      </c>
      <c r="D11" s="7">
        <v>2.7445971E7</v>
      </c>
      <c r="E11" s="7">
        <v>1.0</v>
      </c>
      <c r="F11" s="11">
        <v>1.0</v>
      </c>
      <c r="G11" s="12">
        <f t="shared" si="1"/>
        <v>0</v>
      </c>
      <c r="H11" s="13">
        <v>45861.0</v>
      </c>
      <c r="I11" s="14" t="s">
        <v>14</v>
      </c>
      <c r="J11" s="13">
        <v>45865.0</v>
      </c>
      <c r="K11" s="7" t="s">
        <v>408</v>
      </c>
      <c r="L11" s="9"/>
    </row>
    <row r="12">
      <c r="A12" s="7">
        <v>10.0</v>
      </c>
      <c r="B12" s="8">
        <v>9.08111101E8</v>
      </c>
      <c r="C12" s="9" t="s">
        <v>452</v>
      </c>
      <c r="D12" s="7">
        <v>2.7445971E7</v>
      </c>
      <c r="E12" s="7">
        <v>2.0</v>
      </c>
      <c r="F12" s="11">
        <v>2.0</v>
      </c>
      <c r="G12" s="12">
        <f t="shared" si="1"/>
        <v>0</v>
      </c>
      <c r="H12" s="13">
        <v>45861.0</v>
      </c>
      <c r="I12" s="14" t="s">
        <v>14</v>
      </c>
      <c r="J12" s="13">
        <v>45865.0</v>
      </c>
      <c r="K12" s="7" t="s">
        <v>408</v>
      </c>
      <c r="L12" s="9"/>
    </row>
    <row r="13">
      <c r="A13" s="7">
        <v>11.0</v>
      </c>
      <c r="B13" s="8">
        <v>9.08111007E8</v>
      </c>
      <c r="C13" s="9" t="s">
        <v>451</v>
      </c>
      <c r="D13" s="7">
        <v>2.7445971E7</v>
      </c>
      <c r="E13" s="7">
        <v>9.0</v>
      </c>
      <c r="F13" s="11">
        <v>9.0</v>
      </c>
      <c r="G13" s="12">
        <f t="shared" si="1"/>
        <v>0</v>
      </c>
      <c r="H13" s="13">
        <v>45861.0</v>
      </c>
      <c r="I13" s="14" t="s">
        <v>14</v>
      </c>
      <c r="J13" s="13">
        <v>45865.0</v>
      </c>
      <c r="K13" s="7" t="s">
        <v>408</v>
      </c>
      <c r="L13" s="9"/>
    </row>
    <row r="14">
      <c r="A14" s="7"/>
      <c r="B14" s="8">
        <v>9.08122011E8</v>
      </c>
      <c r="C14" s="9" t="s">
        <v>417</v>
      </c>
      <c r="D14" s="7">
        <v>2.7445971E7</v>
      </c>
      <c r="E14" s="7">
        <v>4.0</v>
      </c>
      <c r="F14" s="11">
        <v>3.0</v>
      </c>
      <c r="G14" s="12">
        <f t="shared" si="1"/>
        <v>1</v>
      </c>
      <c r="H14" s="13">
        <v>45866.0</v>
      </c>
      <c r="I14" s="14" t="s">
        <v>14</v>
      </c>
      <c r="J14" s="13">
        <v>45865.0</v>
      </c>
      <c r="K14" s="7" t="s">
        <v>408</v>
      </c>
      <c r="L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103</v>
      </c>
      <c r="C3" s="20" t="s">
        <v>104</v>
      </c>
      <c r="D3" s="7">
        <v>2.7438332E7</v>
      </c>
      <c r="E3" s="7">
        <v>1.0</v>
      </c>
      <c r="F3" s="11">
        <v>1.0</v>
      </c>
      <c r="G3" s="12">
        <f t="shared" ref="G3:G11" si="1">E3-F3</f>
        <v>0</v>
      </c>
      <c r="H3" s="13">
        <v>45861.0</v>
      </c>
      <c r="I3" s="14" t="s">
        <v>14</v>
      </c>
      <c r="J3" s="13">
        <v>45864.0</v>
      </c>
      <c r="K3" s="7" t="s">
        <v>408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2.7438332E7</v>
      </c>
      <c r="E4" s="7">
        <v>2.0</v>
      </c>
      <c r="F4" s="11">
        <v>2.0</v>
      </c>
      <c r="G4" s="12">
        <f t="shared" si="1"/>
        <v>0</v>
      </c>
      <c r="H4" s="13">
        <v>45861.0</v>
      </c>
      <c r="I4" s="14" t="s">
        <v>14</v>
      </c>
      <c r="J4" s="13">
        <v>45864.0</v>
      </c>
      <c r="K4" s="7" t="s">
        <v>408</v>
      </c>
      <c r="L4" s="9"/>
    </row>
    <row r="5">
      <c r="A5" s="7">
        <v>3.0</v>
      </c>
      <c r="B5" s="8">
        <v>9.08202098E8</v>
      </c>
      <c r="C5" s="9" t="s">
        <v>22</v>
      </c>
      <c r="D5" s="7">
        <v>2.7438332E7</v>
      </c>
      <c r="E5" s="7">
        <v>2.0</v>
      </c>
      <c r="F5" s="11">
        <v>2.0</v>
      </c>
      <c r="G5" s="12">
        <f t="shared" si="1"/>
        <v>0</v>
      </c>
      <c r="H5" s="13">
        <v>45861.0</v>
      </c>
      <c r="I5" s="14" t="s">
        <v>14</v>
      </c>
      <c r="J5" s="13">
        <v>45864.0</v>
      </c>
      <c r="K5" s="7" t="s">
        <v>408</v>
      </c>
      <c r="L5" s="9"/>
    </row>
    <row r="6">
      <c r="A6" s="7">
        <v>4.0</v>
      </c>
      <c r="B6" s="8">
        <v>9.0820203E8</v>
      </c>
      <c r="C6" s="9" t="s">
        <v>19</v>
      </c>
      <c r="D6" s="7">
        <v>2.7438332E7</v>
      </c>
      <c r="E6" s="7">
        <v>2.0</v>
      </c>
      <c r="F6" s="11">
        <v>2.0</v>
      </c>
      <c r="G6" s="12">
        <f t="shared" si="1"/>
        <v>0</v>
      </c>
      <c r="H6" s="13">
        <v>45865.0</v>
      </c>
      <c r="I6" s="14" t="s">
        <v>14</v>
      </c>
      <c r="J6" s="13">
        <v>45864.0</v>
      </c>
      <c r="K6" s="7" t="s">
        <v>408</v>
      </c>
      <c r="L6" s="9"/>
    </row>
    <row r="7">
      <c r="A7" s="7">
        <v>5.0</v>
      </c>
      <c r="B7" s="8">
        <v>9.08121008E8</v>
      </c>
      <c r="C7" s="9" t="s">
        <v>17</v>
      </c>
      <c r="D7" s="7">
        <v>2.7438332E7</v>
      </c>
      <c r="E7" s="7">
        <v>4.0</v>
      </c>
      <c r="F7" s="11">
        <v>4.0</v>
      </c>
      <c r="G7" s="12">
        <f t="shared" si="1"/>
        <v>0</v>
      </c>
      <c r="H7" s="13">
        <v>45861.0</v>
      </c>
      <c r="I7" s="14" t="s">
        <v>14</v>
      </c>
      <c r="J7" s="13">
        <v>45864.0</v>
      </c>
      <c r="K7" s="7" t="s">
        <v>408</v>
      </c>
      <c r="L7" s="9"/>
    </row>
    <row r="8">
      <c r="A8" s="7">
        <v>6.0</v>
      </c>
      <c r="B8" s="8">
        <v>9.0812101E8</v>
      </c>
      <c r="C8" s="9" t="s">
        <v>18</v>
      </c>
      <c r="D8" s="7">
        <v>2.7438332E7</v>
      </c>
      <c r="E8" s="7">
        <v>2.0</v>
      </c>
      <c r="F8" s="11">
        <f>1+1</f>
        <v>2</v>
      </c>
      <c r="G8" s="12">
        <f t="shared" si="1"/>
        <v>0</v>
      </c>
      <c r="H8" s="13">
        <v>45861.0</v>
      </c>
      <c r="I8" s="14" t="s">
        <v>14</v>
      </c>
      <c r="J8" s="13" t="s">
        <v>462</v>
      </c>
      <c r="K8" s="7" t="s">
        <v>408</v>
      </c>
      <c r="L8" s="9"/>
    </row>
    <row r="9">
      <c r="A9" s="7">
        <v>7.0</v>
      </c>
      <c r="B9" s="8" t="s">
        <v>25</v>
      </c>
      <c r="C9" s="9" t="s">
        <v>26</v>
      </c>
      <c r="D9" s="7">
        <v>2.7438332E7</v>
      </c>
      <c r="E9" s="7">
        <v>154.0</v>
      </c>
      <c r="F9" s="11">
        <v>143.0</v>
      </c>
      <c r="G9" s="12">
        <f t="shared" si="1"/>
        <v>11</v>
      </c>
      <c r="H9" s="13">
        <v>45861.0</v>
      </c>
      <c r="I9" s="14" t="s">
        <v>14</v>
      </c>
      <c r="J9" s="13">
        <v>45864.0</v>
      </c>
      <c r="K9" s="7" t="s">
        <v>408</v>
      </c>
      <c r="L9" s="9"/>
    </row>
    <row r="10">
      <c r="A10" s="7">
        <v>8.0</v>
      </c>
      <c r="B10" s="8" t="s">
        <v>27</v>
      </c>
      <c r="C10" s="9" t="s">
        <v>28</v>
      </c>
      <c r="D10" s="7">
        <v>2.7438332E7</v>
      </c>
      <c r="E10" s="7">
        <v>133.0</v>
      </c>
      <c r="F10" s="11">
        <v>6.0</v>
      </c>
      <c r="G10" s="12">
        <f t="shared" si="1"/>
        <v>127</v>
      </c>
      <c r="H10" s="13">
        <v>45861.0</v>
      </c>
      <c r="I10" s="14" t="s">
        <v>14</v>
      </c>
      <c r="J10" s="13">
        <v>45865.0</v>
      </c>
      <c r="K10" s="7" t="s">
        <v>408</v>
      </c>
      <c r="L10" s="9" t="s">
        <v>341</v>
      </c>
    </row>
    <row r="11">
      <c r="A11" s="7">
        <v>9.0</v>
      </c>
      <c r="B11" s="8">
        <v>9.08111101E8</v>
      </c>
      <c r="C11" s="9" t="s">
        <v>24</v>
      </c>
      <c r="D11" s="7">
        <v>2.7438332E7</v>
      </c>
      <c r="E11" s="7">
        <v>6.0</v>
      </c>
      <c r="F11" s="11">
        <v>6.0</v>
      </c>
      <c r="G11" s="12">
        <f t="shared" si="1"/>
        <v>0</v>
      </c>
      <c r="H11" s="13">
        <v>45862.0</v>
      </c>
      <c r="I11" s="14" t="s">
        <v>14</v>
      </c>
      <c r="J11" s="13">
        <v>45864.0</v>
      </c>
      <c r="K11" s="7" t="s">
        <v>408</v>
      </c>
      <c r="L11" s="9"/>
    </row>
    <row r="12">
      <c r="A12" s="7">
        <v>10.0</v>
      </c>
      <c r="B12" s="8">
        <v>9.08122011E8</v>
      </c>
      <c r="C12" s="9" t="s">
        <v>417</v>
      </c>
      <c r="D12" s="7">
        <v>2.7438332E7</v>
      </c>
      <c r="E12" s="7">
        <v>3.0</v>
      </c>
      <c r="F12" s="11">
        <v>3.0</v>
      </c>
      <c r="G12" s="12">
        <v>3.0</v>
      </c>
      <c r="H12" s="13">
        <v>45861.0</v>
      </c>
      <c r="I12" s="14" t="s">
        <v>14</v>
      </c>
      <c r="J12" s="13">
        <v>45882.0</v>
      </c>
      <c r="K12" s="7" t="s">
        <v>408</v>
      </c>
      <c r="L12" s="9"/>
    </row>
    <row r="13">
      <c r="A13" s="7">
        <v>11.0</v>
      </c>
      <c r="B13" s="8">
        <v>9.08020201E8</v>
      </c>
      <c r="C13" s="9" t="s">
        <v>13</v>
      </c>
      <c r="D13" s="7">
        <v>2.7438332E7</v>
      </c>
      <c r="E13" s="7">
        <v>1.0</v>
      </c>
      <c r="F13" s="11"/>
      <c r="G13" s="12">
        <f t="shared" ref="G13:G23" si="2">E13-F13</f>
        <v>1</v>
      </c>
      <c r="H13" s="13">
        <v>45861.0</v>
      </c>
      <c r="I13" s="14" t="s">
        <v>14</v>
      </c>
      <c r="J13" s="13">
        <v>2.0</v>
      </c>
      <c r="K13" s="7"/>
      <c r="L13" s="9"/>
    </row>
    <row r="14">
      <c r="A14" s="7">
        <v>12.0</v>
      </c>
      <c r="B14" s="82">
        <v>9.0820203E8</v>
      </c>
      <c r="C14" s="83" t="s">
        <v>363</v>
      </c>
      <c r="D14" s="84">
        <v>2.7839848E7</v>
      </c>
      <c r="E14" s="104">
        <v>20.0</v>
      </c>
      <c r="F14" s="105"/>
      <c r="G14" s="106">
        <f t="shared" si="2"/>
        <v>20</v>
      </c>
      <c r="H14" s="107">
        <v>45937.0</v>
      </c>
      <c r="I14" s="108" t="s">
        <v>14</v>
      </c>
      <c r="J14" s="13"/>
      <c r="K14" s="7"/>
      <c r="L14" s="9"/>
    </row>
    <row r="15">
      <c r="A15" s="7">
        <v>13.0</v>
      </c>
      <c r="B15" s="82">
        <v>9.08202054E8</v>
      </c>
      <c r="C15" s="83" t="s">
        <v>21</v>
      </c>
      <c r="D15" s="84">
        <v>2.7839848E7</v>
      </c>
      <c r="E15" s="104">
        <v>4.0</v>
      </c>
      <c r="F15" s="105">
        <v>4.0</v>
      </c>
      <c r="G15" s="106">
        <f t="shared" si="2"/>
        <v>0</v>
      </c>
      <c r="H15" s="107">
        <v>45937.0</v>
      </c>
      <c r="I15" s="108" t="s">
        <v>14</v>
      </c>
      <c r="J15" s="13">
        <v>45938.0</v>
      </c>
      <c r="K15" s="7" t="s">
        <v>16</v>
      </c>
      <c r="L15" s="9"/>
    </row>
    <row r="16">
      <c r="A16" s="7">
        <v>14.0</v>
      </c>
      <c r="B16" s="82">
        <v>9.08371013E8</v>
      </c>
      <c r="C16" s="83" t="s">
        <v>364</v>
      </c>
      <c r="D16" s="84">
        <v>2.7839848E7</v>
      </c>
      <c r="E16" s="104">
        <v>2.0</v>
      </c>
      <c r="F16" s="105">
        <v>2.0</v>
      </c>
      <c r="G16" s="106">
        <f t="shared" si="2"/>
        <v>0</v>
      </c>
      <c r="H16" s="107">
        <v>45937.0</v>
      </c>
      <c r="I16" s="108" t="s">
        <v>14</v>
      </c>
      <c r="J16" s="13">
        <v>45938.0</v>
      </c>
      <c r="K16" s="7" t="s">
        <v>16</v>
      </c>
      <c r="L16" s="9"/>
    </row>
    <row r="17">
      <c r="A17" s="7">
        <v>15.0</v>
      </c>
      <c r="B17" s="82">
        <v>9.08402208E8</v>
      </c>
      <c r="C17" s="83" t="s">
        <v>111</v>
      </c>
      <c r="D17" s="84">
        <v>2.7839848E7</v>
      </c>
      <c r="E17" s="104">
        <v>4.0</v>
      </c>
      <c r="F17" s="105">
        <v>4.0</v>
      </c>
      <c r="G17" s="106">
        <f t="shared" si="2"/>
        <v>0</v>
      </c>
      <c r="H17" s="107">
        <v>45937.0</v>
      </c>
      <c r="I17" s="108" t="s">
        <v>14</v>
      </c>
      <c r="J17" s="13">
        <v>45938.0</v>
      </c>
      <c r="K17" s="7" t="s">
        <v>16</v>
      </c>
      <c r="L17" s="9"/>
    </row>
    <row r="18">
      <c r="A18" s="7">
        <v>16.0</v>
      </c>
      <c r="B18" s="82">
        <v>9.08421025E8</v>
      </c>
      <c r="C18" s="83" t="s">
        <v>112</v>
      </c>
      <c r="D18" s="84">
        <v>2.7839848E7</v>
      </c>
      <c r="E18" s="104">
        <v>4.0</v>
      </c>
      <c r="F18" s="105">
        <v>4.0</v>
      </c>
      <c r="G18" s="106">
        <f t="shared" si="2"/>
        <v>0</v>
      </c>
      <c r="H18" s="107">
        <v>45937.0</v>
      </c>
      <c r="I18" s="108" t="s">
        <v>14</v>
      </c>
      <c r="J18" s="13">
        <v>45938.0</v>
      </c>
      <c r="K18" s="7" t="s">
        <v>16</v>
      </c>
      <c r="L18" s="9"/>
    </row>
    <row r="19">
      <c r="A19" s="7">
        <v>17.0</v>
      </c>
      <c r="B19" s="82">
        <v>9.08111101E8</v>
      </c>
      <c r="C19" s="83" t="s">
        <v>24</v>
      </c>
      <c r="D19" s="84">
        <v>2.7839848E7</v>
      </c>
      <c r="E19" s="104"/>
      <c r="F19" s="105">
        <v>8.0</v>
      </c>
      <c r="G19" s="106">
        <f t="shared" si="2"/>
        <v>-8</v>
      </c>
      <c r="H19" s="107"/>
      <c r="I19" s="108"/>
      <c r="J19" s="13">
        <v>45938.0</v>
      </c>
      <c r="K19" s="7" t="s">
        <v>16</v>
      </c>
      <c r="L19" s="9"/>
    </row>
    <row r="20">
      <c r="A20" s="7">
        <v>18.0</v>
      </c>
      <c r="B20" s="82">
        <v>9.0812201E8</v>
      </c>
      <c r="C20" s="83" t="s">
        <v>80</v>
      </c>
      <c r="D20" s="84">
        <v>2.7839848E7</v>
      </c>
      <c r="E20" s="104">
        <v>16.0</v>
      </c>
      <c r="F20" s="105"/>
      <c r="G20" s="106">
        <f t="shared" si="2"/>
        <v>16</v>
      </c>
      <c r="H20" s="107">
        <v>45937.0</v>
      </c>
      <c r="I20" s="108" t="s">
        <v>14</v>
      </c>
      <c r="J20" s="13"/>
      <c r="K20" s="7"/>
      <c r="L20" s="9"/>
    </row>
    <row r="21" ht="15.75" customHeight="1">
      <c r="A21" s="7">
        <v>19.0</v>
      </c>
      <c r="B21" s="82">
        <v>9.08371014E8</v>
      </c>
      <c r="C21" s="83" t="s">
        <v>365</v>
      </c>
      <c r="D21" s="84">
        <v>2.7839848E7</v>
      </c>
      <c r="E21" s="104">
        <v>2.0</v>
      </c>
      <c r="F21" s="105">
        <v>2.0</v>
      </c>
      <c r="G21" s="106">
        <f t="shared" si="2"/>
        <v>0</v>
      </c>
      <c r="H21" s="107">
        <v>45937.0</v>
      </c>
      <c r="I21" s="108" t="s">
        <v>14</v>
      </c>
      <c r="J21" s="13">
        <v>45938.0</v>
      </c>
      <c r="K21" s="7" t="s">
        <v>16</v>
      </c>
      <c r="L21" s="9"/>
    </row>
    <row r="22" ht="15.75" customHeight="1">
      <c r="A22" s="7">
        <v>20.0</v>
      </c>
      <c r="B22" s="82">
        <v>9.08202189E8</v>
      </c>
      <c r="C22" s="83" t="s">
        <v>55</v>
      </c>
      <c r="D22" s="84">
        <v>2.7839848E7</v>
      </c>
      <c r="E22" s="104">
        <v>4.0</v>
      </c>
      <c r="F22" s="105">
        <v>4.0</v>
      </c>
      <c r="G22" s="106">
        <f t="shared" si="2"/>
        <v>0</v>
      </c>
      <c r="H22" s="107">
        <v>45957.0</v>
      </c>
      <c r="I22" s="108" t="s">
        <v>14</v>
      </c>
      <c r="J22" s="13">
        <v>45938.0</v>
      </c>
      <c r="K22" s="7" t="s">
        <v>16</v>
      </c>
      <c r="L22" s="9"/>
    </row>
    <row r="23" ht="15.75" customHeight="1">
      <c r="A23" s="7">
        <v>21.0</v>
      </c>
      <c r="B23" s="82">
        <v>9.08020201E8</v>
      </c>
      <c r="C23" s="83" t="s">
        <v>13</v>
      </c>
      <c r="D23" s="84">
        <v>2.7839848E7</v>
      </c>
      <c r="E23" s="104">
        <v>4.0</v>
      </c>
      <c r="F23" s="105"/>
      <c r="G23" s="106">
        <f t="shared" si="2"/>
        <v>4</v>
      </c>
      <c r="H23" s="107">
        <v>45957.0</v>
      </c>
      <c r="I23" s="108" t="s">
        <v>14</v>
      </c>
      <c r="J23" s="13"/>
      <c r="K23" s="7"/>
      <c r="L23" s="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41.57"/>
    <col customWidth="1" min="13" max="26" width="8.71"/>
  </cols>
  <sheetData>
    <row r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9.08113004E8</v>
      </c>
      <c r="C3" s="20" t="s">
        <v>70</v>
      </c>
      <c r="D3" s="10">
        <v>2.7385213E7</v>
      </c>
      <c r="E3" s="7">
        <v>10.0</v>
      </c>
      <c r="F3" s="11">
        <v>10.0</v>
      </c>
      <c r="G3" s="12">
        <f t="shared" ref="G3:G10" si="1">E3-F3</f>
        <v>0</v>
      </c>
      <c r="H3" s="13">
        <v>45855.0</v>
      </c>
      <c r="I3" s="14" t="s">
        <v>14</v>
      </c>
      <c r="J3" s="15">
        <v>45883.0</v>
      </c>
      <c r="K3" s="7" t="s">
        <v>63</v>
      </c>
      <c r="L3" s="9"/>
    </row>
    <row r="4">
      <c r="A4" s="7">
        <v>2.0</v>
      </c>
      <c r="B4" s="8">
        <v>9.0812104E8</v>
      </c>
      <c r="C4" s="29" t="s">
        <v>66</v>
      </c>
      <c r="D4" s="10">
        <v>2.7385213E7</v>
      </c>
      <c r="E4" s="7">
        <v>2.0</v>
      </c>
      <c r="F4" s="11">
        <v>2.0</v>
      </c>
      <c r="G4" s="12">
        <f t="shared" si="1"/>
        <v>0</v>
      </c>
      <c r="H4" s="13">
        <v>45853.0</v>
      </c>
      <c r="I4" s="14" t="s">
        <v>14</v>
      </c>
      <c r="J4" s="15">
        <v>45883.0</v>
      </c>
      <c r="K4" s="7" t="s">
        <v>63</v>
      </c>
      <c r="L4" s="9"/>
    </row>
    <row r="5">
      <c r="A5" s="7">
        <v>3.0</v>
      </c>
      <c r="B5" s="8">
        <v>9.08567023E8</v>
      </c>
      <c r="C5" s="9" t="s">
        <v>149</v>
      </c>
      <c r="D5" s="10">
        <v>2.7385213E7</v>
      </c>
      <c r="E5" s="7">
        <v>1.0</v>
      </c>
      <c r="F5" s="11">
        <v>1.0</v>
      </c>
      <c r="G5" s="12">
        <f t="shared" si="1"/>
        <v>0</v>
      </c>
      <c r="H5" s="13">
        <v>45869.0</v>
      </c>
      <c r="I5" s="14" t="s">
        <v>14</v>
      </c>
      <c r="J5" s="15">
        <v>45881.0</v>
      </c>
      <c r="K5" s="7" t="s">
        <v>63</v>
      </c>
      <c r="L5" s="9"/>
    </row>
    <row r="6">
      <c r="A6" s="7">
        <v>4.0</v>
      </c>
      <c r="B6" s="8">
        <v>9.08321012E8</v>
      </c>
      <c r="C6" s="29" t="s">
        <v>380</v>
      </c>
      <c r="D6" s="10">
        <v>2.7385213E7</v>
      </c>
      <c r="E6" s="7">
        <v>1.0</v>
      </c>
      <c r="F6" s="11">
        <v>1.0</v>
      </c>
      <c r="G6" s="12">
        <f t="shared" si="1"/>
        <v>0</v>
      </c>
      <c r="H6" s="13">
        <v>45862.0</v>
      </c>
      <c r="I6" s="14" t="s">
        <v>14</v>
      </c>
      <c r="J6" s="15">
        <v>45881.0</v>
      </c>
      <c r="K6" s="7" t="s">
        <v>63</v>
      </c>
      <c r="L6" s="9"/>
    </row>
    <row r="7">
      <c r="A7" s="7">
        <v>5.0</v>
      </c>
      <c r="B7" s="8">
        <v>9.08111102E8</v>
      </c>
      <c r="C7" s="9" t="s">
        <v>420</v>
      </c>
      <c r="D7" s="10">
        <v>2.7385213E7</v>
      </c>
      <c r="E7" s="7">
        <v>25.0</v>
      </c>
      <c r="F7" s="11">
        <v>25.0</v>
      </c>
      <c r="G7" s="12">
        <f t="shared" si="1"/>
        <v>0</v>
      </c>
      <c r="H7" s="13">
        <v>45855.0</v>
      </c>
      <c r="I7" s="14" t="s">
        <v>14</v>
      </c>
      <c r="J7" s="15">
        <v>45883.0</v>
      </c>
      <c r="K7" s="7" t="s">
        <v>63</v>
      </c>
      <c r="L7" s="9"/>
    </row>
    <row r="8">
      <c r="A8" s="7">
        <v>6.0</v>
      </c>
      <c r="B8" s="8">
        <v>9.08202054E8</v>
      </c>
      <c r="C8" s="9" t="s">
        <v>21</v>
      </c>
      <c r="D8" s="10">
        <v>2.7385213E7</v>
      </c>
      <c r="E8" s="7">
        <f t="shared" ref="E8:F8" si="2">4+1</f>
        <v>5</v>
      </c>
      <c r="F8" s="11">
        <f t="shared" si="2"/>
        <v>5</v>
      </c>
      <c r="G8" s="12">
        <f t="shared" si="1"/>
        <v>0</v>
      </c>
      <c r="H8" s="13" t="s">
        <v>464</v>
      </c>
      <c r="I8" s="14" t="s">
        <v>14</v>
      </c>
      <c r="J8" s="30" t="s">
        <v>465</v>
      </c>
      <c r="K8" s="51" t="s">
        <v>466</v>
      </c>
      <c r="L8" s="9"/>
    </row>
    <row r="9">
      <c r="A9" s="7">
        <v>7.0</v>
      </c>
      <c r="B9" s="8">
        <v>9.08202189E8</v>
      </c>
      <c r="C9" s="9" t="s">
        <v>423</v>
      </c>
      <c r="D9" s="10">
        <v>2.7385213E7</v>
      </c>
      <c r="E9" s="7">
        <v>10.0</v>
      </c>
      <c r="F9" s="11">
        <f>7+1+2</f>
        <v>10</v>
      </c>
      <c r="G9" s="12">
        <f t="shared" si="1"/>
        <v>0</v>
      </c>
      <c r="H9" s="13">
        <v>45855.0</v>
      </c>
      <c r="I9" s="14" t="s">
        <v>14</v>
      </c>
      <c r="J9" s="30" t="s">
        <v>467</v>
      </c>
      <c r="K9" s="7" t="s">
        <v>468</v>
      </c>
      <c r="L9" s="79" t="s">
        <v>469</v>
      </c>
    </row>
    <row r="10">
      <c r="A10" s="7">
        <v>8.0</v>
      </c>
      <c r="B10" s="8">
        <v>9.08122034E8</v>
      </c>
      <c r="C10" s="9" t="s">
        <v>36</v>
      </c>
      <c r="D10" s="10">
        <v>2.7385213E7</v>
      </c>
      <c r="E10" s="7">
        <v>4.0</v>
      </c>
      <c r="F10" s="11">
        <v>6.0</v>
      </c>
      <c r="G10" s="12">
        <f t="shared" si="1"/>
        <v>-2</v>
      </c>
      <c r="H10" s="13">
        <v>45861.0</v>
      </c>
      <c r="I10" s="14" t="s">
        <v>14</v>
      </c>
      <c r="J10" s="15">
        <v>45883.0</v>
      </c>
      <c r="K10" s="7" t="s">
        <v>63</v>
      </c>
      <c r="L10" s="9"/>
    </row>
    <row r="11" ht="35.25" customHeight="1">
      <c r="A11" s="7">
        <v>11.0</v>
      </c>
      <c r="B11" s="8">
        <v>9.08114004E8</v>
      </c>
      <c r="C11" s="9" t="s">
        <v>69</v>
      </c>
      <c r="D11" s="10">
        <v>2.7385213E7</v>
      </c>
      <c r="E11" s="7">
        <v>180.0</v>
      </c>
      <c r="F11" s="11">
        <v>150.0</v>
      </c>
      <c r="G11" s="12">
        <v>15.0</v>
      </c>
      <c r="H11" s="13">
        <v>45855.0</v>
      </c>
      <c r="I11" s="14" t="s">
        <v>14</v>
      </c>
      <c r="J11" s="15">
        <v>45884.0</v>
      </c>
      <c r="K11" s="7" t="s">
        <v>63</v>
      </c>
      <c r="L11" s="92"/>
    </row>
    <row r="12">
      <c r="A12" s="7">
        <v>12.0</v>
      </c>
      <c r="B12" s="8">
        <v>9.08121158E8</v>
      </c>
      <c r="C12" s="9" t="s">
        <v>72</v>
      </c>
      <c r="D12" s="10">
        <v>2.7385213E7</v>
      </c>
      <c r="E12" s="7">
        <v>1.0</v>
      </c>
      <c r="F12" s="11">
        <v>1.0</v>
      </c>
      <c r="G12" s="12">
        <f t="shared" ref="G12:G22" si="3">E12-F12</f>
        <v>0</v>
      </c>
      <c r="H12" s="13">
        <v>45853.0</v>
      </c>
      <c r="I12" s="14" t="s">
        <v>14</v>
      </c>
      <c r="J12" s="15">
        <v>45913.0</v>
      </c>
      <c r="K12" s="7" t="s">
        <v>63</v>
      </c>
      <c r="L12" s="9"/>
    </row>
    <row r="13">
      <c r="A13" s="7">
        <v>14.0</v>
      </c>
      <c r="B13" s="8">
        <v>9.08121144E8</v>
      </c>
      <c r="C13" s="9" t="s">
        <v>425</v>
      </c>
      <c r="D13" s="10">
        <v>2.7385213E7</v>
      </c>
      <c r="E13" s="7">
        <v>3.0</v>
      </c>
      <c r="F13" s="11">
        <f>2+1</f>
        <v>3</v>
      </c>
      <c r="G13" s="12">
        <f t="shared" si="3"/>
        <v>0</v>
      </c>
      <c r="H13" s="13">
        <v>45853.0</v>
      </c>
      <c r="I13" s="14" t="s">
        <v>14</v>
      </c>
      <c r="J13" s="30" t="s">
        <v>470</v>
      </c>
      <c r="K13" s="7" t="s">
        <v>63</v>
      </c>
      <c r="L13" s="9"/>
    </row>
    <row r="14">
      <c r="A14" s="7">
        <v>17.0</v>
      </c>
      <c r="B14" s="8">
        <v>9.0812115E8</v>
      </c>
      <c r="C14" s="9" t="s">
        <v>426</v>
      </c>
      <c r="D14" s="10">
        <v>2.7385213E7</v>
      </c>
      <c r="E14" s="7">
        <v>1.0</v>
      </c>
      <c r="F14" s="11">
        <v>1.0</v>
      </c>
      <c r="G14" s="12">
        <f t="shared" si="3"/>
        <v>0</v>
      </c>
      <c r="H14" s="13">
        <v>45853.0</v>
      </c>
      <c r="I14" s="14" t="s">
        <v>14</v>
      </c>
      <c r="J14" s="15">
        <v>46086.0</v>
      </c>
      <c r="K14" s="7" t="s">
        <v>30</v>
      </c>
      <c r="L14" s="79" t="s">
        <v>469</v>
      </c>
    </row>
    <row r="15">
      <c r="A15" s="7">
        <v>18.0</v>
      </c>
      <c r="B15" s="8">
        <v>9.08111101E8</v>
      </c>
      <c r="C15" s="9" t="s">
        <v>24</v>
      </c>
      <c r="D15" s="10">
        <v>2.7385213E7</v>
      </c>
      <c r="E15" s="7">
        <v>2.0</v>
      </c>
      <c r="F15" s="11">
        <v>2.0</v>
      </c>
      <c r="G15" s="12">
        <f t="shared" si="3"/>
        <v>0</v>
      </c>
      <c r="H15" s="13">
        <v>45853.0</v>
      </c>
      <c r="I15" s="14" t="s">
        <v>14</v>
      </c>
      <c r="J15" s="15">
        <v>45896.0</v>
      </c>
      <c r="K15" s="7" t="s">
        <v>63</v>
      </c>
      <c r="L15" s="9"/>
    </row>
    <row r="16">
      <c r="A16" s="7">
        <v>19.0</v>
      </c>
      <c r="B16" s="8">
        <v>9.08202056E8</v>
      </c>
      <c r="C16" s="9" t="s">
        <v>471</v>
      </c>
      <c r="D16" s="10">
        <v>2.7385213E7</v>
      </c>
      <c r="E16" s="7">
        <v>3.0</v>
      </c>
      <c r="F16" s="11"/>
      <c r="G16" s="12">
        <f t="shared" si="3"/>
        <v>3</v>
      </c>
      <c r="H16" s="13">
        <v>45853.0</v>
      </c>
      <c r="I16" s="14" t="s">
        <v>14</v>
      </c>
      <c r="J16" s="15"/>
      <c r="K16" s="7"/>
      <c r="L16" s="9"/>
    </row>
    <row r="17">
      <c r="A17" s="7">
        <v>20.0</v>
      </c>
      <c r="B17" s="8">
        <v>9.08402206E8</v>
      </c>
      <c r="C17" s="9" t="s">
        <v>82</v>
      </c>
      <c r="D17" s="10">
        <v>2.7385213E7</v>
      </c>
      <c r="E17" s="7">
        <v>1.0</v>
      </c>
      <c r="F17" s="11">
        <v>1.0</v>
      </c>
      <c r="G17" s="12">
        <f t="shared" si="3"/>
        <v>0</v>
      </c>
      <c r="H17" s="13">
        <v>45853.0</v>
      </c>
      <c r="I17" s="14" t="s">
        <v>14</v>
      </c>
      <c r="J17" s="15">
        <v>45896.0</v>
      </c>
      <c r="K17" s="7" t="s">
        <v>63</v>
      </c>
      <c r="L17" s="9"/>
    </row>
    <row r="18">
      <c r="A18" s="7">
        <v>21.0</v>
      </c>
      <c r="B18" s="8">
        <v>9.08421004E8</v>
      </c>
      <c r="C18" s="9" t="s">
        <v>85</v>
      </c>
      <c r="D18" s="10">
        <v>2.7385213E7</v>
      </c>
      <c r="E18" s="7">
        <v>1.0</v>
      </c>
      <c r="F18" s="11">
        <v>1.0</v>
      </c>
      <c r="G18" s="12">
        <f t="shared" si="3"/>
        <v>0</v>
      </c>
      <c r="H18" s="13">
        <v>45853.0</v>
      </c>
      <c r="I18" s="14" t="s">
        <v>14</v>
      </c>
      <c r="J18" s="15">
        <v>45896.0</v>
      </c>
      <c r="K18" s="7" t="s">
        <v>63</v>
      </c>
      <c r="L18" s="9"/>
    </row>
    <row r="19">
      <c r="A19" s="7">
        <v>22.0</v>
      </c>
      <c r="B19" s="8">
        <v>9.08501008E8</v>
      </c>
      <c r="C19" s="9" t="s">
        <v>472</v>
      </c>
      <c r="D19" s="10">
        <v>2.7385213E7</v>
      </c>
      <c r="E19" s="7">
        <v>3.0</v>
      </c>
      <c r="F19" s="11">
        <v>3.0</v>
      </c>
      <c r="G19" s="12">
        <f t="shared" si="3"/>
        <v>0</v>
      </c>
      <c r="H19" s="13">
        <v>45853.0</v>
      </c>
      <c r="I19" s="14" t="s">
        <v>14</v>
      </c>
      <c r="J19" s="15">
        <v>46086.0</v>
      </c>
      <c r="K19" s="7" t="s">
        <v>30</v>
      </c>
      <c r="L19" s="79" t="s">
        <v>469</v>
      </c>
    </row>
    <row r="20">
      <c r="A20" s="7">
        <v>23.0</v>
      </c>
      <c r="B20" s="8">
        <v>9.0820203E8</v>
      </c>
      <c r="C20" s="9" t="s">
        <v>19</v>
      </c>
      <c r="D20" s="10">
        <v>2.7385213E7</v>
      </c>
      <c r="E20" s="7">
        <v>1.0</v>
      </c>
      <c r="F20" s="11">
        <v>1.0</v>
      </c>
      <c r="G20" s="12">
        <f t="shared" si="3"/>
        <v>0</v>
      </c>
      <c r="H20" s="109">
        <v>45853.0</v>
      </c>
      <c r="I20" s="19" t="s">
        <v>14</v>
      </c>
      <c r="J20" s="15">
        <v>45896.0</v>
      </c>
      <c r="K20" s="7" t="s">
        <v>63</v>
      </c>
      <c r="L20" s="17"/>
    </row>
    <row r="21" ht="15.75" customHeight="1">
      <c r="A21" s="7">
        <v>24.0</v>
      </c>
      <c r="B21" s="8">
        <v>9.0811101E8</v>
      </c>
      <c r="C21" s="9" t="s">
        <v>473</v>
      </c>
      <c r="D21" s="10">
        <v>2.7385213E7</v>
      </c>
      <c r="E21" s="7">
        <v>20.0</v>
      </c>
      <c r="F21" s="11">
        <v>10.0</v>
      </c>
      <c r="G21" s="12">
        <f t="shared" si="3"/>
        <v>10</v>
      </c>
      <c r="H21" s="109">
        <v>45861.0</v>
      </c>
      <c r="I21" s="19" t="s">
        <v>14</v>
      </c>
      <c r="J21" s="15">
        <v>45896.0</v>
      </c>
      <c r="K21" s="7" t="s">
        <v>63</v>
      </c>
      <c r="L21" s="17"/>
    </row>
    <row r="22" ht="15.75" customHeight="1">
      <c r="A22" s="7">
        <v>25.0</v>
      </c>
      <c r="B22" s="8">
        <v>9.08020203E8</v>
      </c>
      <c r="C22" s="9" t="s">
        <v>13</v>
      </c>
      <c r="D22" s="10">
        <v>2.7385213E7</v>
      </c>
      <c r="E22" s="7">
        <v>3.0</v>
      </c>
      <c r="F22" s="11">
        <v>2.0</v>
      </c>
      <c r="G22" s="12">
        <f t="shared" si="3"/>
        <v>1</v>
      </c>
      <c r="H22" s="109">
        <v>45865.0</v>
      </c>
      <c r="I22" s="19" t="s">
        <v>14</v>
      </c>
      <c r="J22" s="15">
        <v>45896.0</v>
      </c>
      <c r="K22" s="7" t="s">
        <v>63</v>
      </c>
      <c r="L22" s="17"/>
    </row>
    <row r="23" ht="15.75" customHeight="1">
      <c r="G23" s="12"/>
    </row>
    <row r="24" ht="15.75" customHeight="1"/>
    <row r="25" ht="15.75" customHeight="1">
      <c r="A25" s="4" t="s">
        <v>1</v>
      </c>
      <c r="B25" s="5" t="s">
        <v>2</v>
      </c>
      <c r="C25" s="4" t="s">
        <v>474</v>
      </c>
      <c r="D25" s="4" t="s">
        <v>5</v>
      </c>
      <c r="E25" s="90" t="s">
        <v>8</v>
      </c>
      <c r="F25" s="25" t="s">
        <v>475</v>
      </c>
      <c r="G25" s="3"/>
    </row>
    <row r="26" ht="15.75" customHeight="1">
      <c r="A26" s="7">
        <v>1.0</v>
      </c>
      <c r="B26" s="8">
        <v>9.08114004E8</v>
      </c>
      <c r="C26" s="9" t="s">
        <v>69</v>
      </c>
      <c r="D26" s="9">
        <f>6+4.8+1.5+1.3+1.3+1.3+1.3+1.3+3+4.5+0.7+0.7+0.7+0.1+0.2+0.1</f>
        <v>28.8</v>
      </c>
      <c r="E26" s="21">
        <v>45915.0</v>
      </c>
      <c r="F26" s="29" t="s">
        <v>63</v>
      </c>
      <c r="G26" s="2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F25:G25"/>
    <mergeCell ref="F26:G26"/>
  </mergeCells>
  <printOptions/>
  <pageMargins bottom="0.75" footer="0.0" header="0.0" left="0.7" right="0.7" top="0.75"/>
  <pageSetup scale="27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9.08421003E8</v>
      </c>
      <c r="C3" s="9" t="s">
        <v>386</v>
      </c>
      <c r="D3" s="51">
        <v>2.7583146E7</v>
      </c>
      <c r="E3" s="7">
        <v>2.0</v>
      </c>
      <c r="F3" s="11">
        <v>2.0</v>
      </c>
      <c r="G3" s="12">
        <f t="shared" ref="G3:G12" si="1">E3-F3</f>
        <v>0</v>
      </c>
      <c r="H3" s="13">
        <v>45886.0</v>
      </c>
      <c r="I3" s="14" t="s">
        <v>14</v>
      </c>
      <c r="J3" s="13">
        <v>45887.0</v>
      </c>
      <c r="K3" s="7" t="s">
        <v>283</v>
      </c>
      <c r="L3" s="20"/>
    </row>
    <row r="4">
      <c r="A4" s="7">
        <v>2.0</v>
      </c>
      <c r="B4" s="8">
        <v>9.08402208E8</v>
      </c>
      <c r="C4" s="9" t="s">
        <v>111</v>
      </c>
      <c r="D4" s="51">
        <v>2.7583146E7</v>
      </c>
      <c r="E4" s="7">
        <v>8.0</v>
      </c>
      <c r="F4" s="11">
        <v>8.0</v>
      </c>
      <c r="G4" s="12">
        <f t="shared" si="1"/>
        <v>0</v>
      </c>
      <c r="H4" s="13">
        <v>45886.0</v>
      </c>
      <c r="I4" s="14" t="s">
        <v>14</v>
      </c>
      <c r="J4" s="13">
        <v>45887.0</v>
      </c>
      <c r="K4" s="7" t="s">
        <v>283</v>
      </c>
      <c r="L4" s="20"/>
    </row>
    <row r="5">
      <c r="A5" s="7">
        <v>3.0</v>
      </c>
      <c r="B5" s="8">
        <v>9.08371012E8</v>
      </c>
      <c r="C5" s="20" t="s">
        <v>150</v>
      </c>
      <c r="D5" s="51">
        <v>2.7583146E7</v>
      </c>
      <c r="E5" s="7">
        <v>1.0</v>
      </c>
      <c r="F5" s="11">
        <v>1.0</v>
      </c>
      <c r="G5" s="12">
        <f t="shared" si="1"/>
        <v>0</v>
      </c>
      <c r="H5" s="13">
        <v>45886.0</v>
      </c>
      <c r="I5" s="14" t="s">
        <v>14</v>
      </c>
      <c r="J5" s="13">
        <v>45887.0</v>
      </c>
      <c r="K5" s="7" t="s">
        <v>283</v>
      </c>
      <c r="L5" s="20"/>
    </row>
    <row r="6">
      <c r="A6" s="7">
        <v>4.0</v>
      </c>
      <c r="B6" s="8">
        <v>9.0820203E8</v>
      </c>
      <c r="C6" s="9" t="s">
        <v>19</v>
      </c>
      <c r="D6" s="51">
        <v>2.7583146E7</v>
      </c>
      <c r="E6" s="7">
        <v>42.0</v>
      </c>
      <c r="F6" s="11">
        <v>10.0</v>
      </c>
      <c r="G6" s="12">
        <f t="shared" si="1"/>
        <v>32</v>
      </c>
      <c r="H6" s="13">
        <v>45886.0</v>
      </c>
      <c r="I6" s="14" t="s">
        <v>14</v>
      </c>
      <c r="J6" s="13">
        <v>45887.0</v>
      </c>
      <c r="K6" s="7" t="s">
        <v>283</v>
      </c>
      <c r="L6" s="20"/>
    </row>
    <row r="7">
      <c r="A7" s="7">
        <v>5.0</v>
      </c>
      <c r="B7" s="8">
        <v>9.08122003E8</v>
      </c>
      <c r="C7" s="9" t="s">
        <v>368</v>
      </c>
      <c r="D7" s="51">
        <v>2.7583146E7</v>
      </c>
      <c r="E7" s="7">
        <v>32.0</v>
      </c>
      <c r="F7" s="11">
        <v>32.0</v>
      </c>
      <c r="G7" s="12">
        <f t="shared" si="1"/>
        <v>0</v>
      </c>
      <c r="H7" s="13">
        <v>45886.0</v>
      </c>
      <c r="I7" s="14" t="s">
        <v>14</v>
      </c>
      <c r="J7" s="13">
        <v>45887.0</v>
      </c>
      <c r="K7" s="7" t="s">
        <v>283</v>
      </c>
      <c r="L7" s="20"/>
    </row>
    <row r="8">
      <c r="A8" s="7">
        <v>6.0</v>
      </c>
      <c r="B8" s="8">
        <v>9.08111101E8</v>
      </c>
      <c r="C8" s="9" t="s">
        <v>24</v>
      </c>
      <c r="D8" s="51">
        <v>2.7583146E7</v>
      </c>
      <c r="E8" s="7"/>
      <c r="F8" s="11">
        <v>4.0</v>
      </c>
      <c r="G8" s="12">
        <f t="shared" si="1"/>
        <v>-4</v>
      </c>
      <c r="H8" s="13"/>
      <c r="I8" s="14"/>
      <c r="J8" s="13">
        <v>45887.0</v>
      </c>
      <c r="K8" s="7" t="s">
        <v>283</v>
      </c>
      <c r="L8" s="20"/>
    </row>
    <row r="9">
      <c r="A9" s="7">
        <v>7.0</v>
      </c>
      <c r="B9" s="8">
        <v>9.0812201E8</v>
      </c>
      <c r="C9" s="9" t="s">
        <v>80</v>
      </c>
      <c r="D9" s="51">
        <v>2.7583146E7</v>
      </c>
      <c r="E9" s="7">
        <v>24.0</v>
      </c>
      <c r="F9" s="11">
        <v>16.0</v>
      </c>
      <c r="G9" s="12">
        <f t="shared" si="1"/>
        <v>8</v>
      </c>
      <c r="H9" s="13">
        <v>45886.0</v>
      </c>
      <c r="I9" s="14" t="s">
        <v>14</v>
      </c>
      <c r="J9" s="13">
        <v>45887.0</v>
      </c>
      <c r="K9" s="7" t="s">
        <v>283</v>
      </c>
      <c r="L9" s="20"/>
    </row>
    <row r="10">
      <c r="A10" s="7">
        <v>8.0</v>
      </c>
      <c r="B10" s="8">
        <v>9.08202189E8</v>
      </c>
      <c r="C10" s="9" t="s">
        <v>55</v>
      </c>
      <c r="D10" s="51">
        <v>2.7583146E7</v>
      </c>
      <c r="E10" s="7">
        <v>2.0</v>
      </c>
      <c r="F10" s="11">
        <v>6.0</v>
      </c>
      <c r="G10" s="12">
        <f t="shared" si="1"/>
        <v>-4</v>
      </c>
      <c r="H10" s="13">
        <v>45886.0</v>
      </c>
      <c r="I10" s="14" t="s">
        <v>14</v>
      </c>
      <c r="J10" s="13">
        <v>45887.0</v>
      </c>
      <c r="K10" s="7" t="s">
        <v>283</v>
      </c>
      <c r="L10" s="20"/>
    </row>
    <row r="11">
      <c r="A11" s="7">
        <v>9.0</v>
      </c>
      <c r="B11" s="8" t="s">
        <v>20</v>
      </c>
      <c r="C11" s="9" t="s">
        <v>21</v>
      </c>
      <c r="D11" s="51">
        <v>2.7583146E7</v>
      </c>
      <c r="E11" s="7">
        <v>2.0</v>
      </c>
      <c r="F11" s="11">
        <v>2.0</v>
      </c>
      <c r="G11" s="12">
        <f t="shared" si="1"/>
        <v>0</v>
      </c>
      <c r="H11" s="13">
        <v>45886.0</v>
      </c>
      <c r="I11" s="14" t="s">
        <v>14</v>
      </c>
      <c r="J11" s="13">
        <v>45887.0</v>
      </c>
      <c r="K11" s="7" t="s">
        <v>283</v>
      </c>
      <c r="L11" s="20"/>
    </row>
    <row r="12">
      <c r="A12" s="7">
        <v>10.0</v>
      </c>
      <c r="B12" s="8">
        <v>9.08371001E8</v>
      </c>
      <c r="C12" s="9" t="s">
        <v>91</v>
      </c>
      <c r="D12" s="51">
        <v>2.7583146E7</v>
      </c>
      <c r="E12" s="7">
        <v>7.0</v>
      </c>
      <c r="F12" s="11">
        <v>7.0</v>
      </c>
      <c r="G12" s="12">
        <f t="shared" si="1"/>
        <v>0</v>
      </c>
      <c r="H12" s="13">
        <v>45886.0</v>
      </c>
      <c r="I12" s="14" t="s">
        <v>14</v>
      </c>
      <c r="J12" s="13">
        <v>45887.0</v>
      </c>
      <c r="K12" s="7" t="s">
        <v>283</v>
      </c>
      <c r="L12" s="20"/>
    </row>
    <row r="13">
      <c r="A13" s="7"/>
      <c r="B13" s="8"/>
      <c r="C13" s="9"/>
      <c r="D13" s="51"/>
      <c r="E13" s="7"/>
      <c r="F13" s="11"/>
      <c r="G13" s="12"/>
      <c r="H13" s="13"/>
      <c r="I13" s="14"/>
      <c r="J13" s="13"/>
      <c r="K13" s="7"/>
      <c r="L13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477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9.08371014E8</v>
      </c>
      <c r="C3" s="20" t="s">
        <v>365</v>
      </c>
      <c r="D3" s="7">
        <v>2.7412045E7</v>
      </c>
      <c r="E3" s="7">
        <v>1.0</v>
      </c>
      <c r="F3" s="11">
        <v>1.0</v>
      </c>
      <c r="G3" s="12">
        <f>E3-F3</f>
        <v>0</v>
      </c>
      <c r="H3" s="13">
        <v>45855.0</v>
      </c>
      <c r="I3" s="14" t="s">
        <v>14</v>
      </c>
      <c r="J3" s="13">
        <v>45857.0</v>
      </c>
      <c r="K3" s="7" t="s">
        <v>478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103</v>
      </c>
      <c r="C3" s="20" t="s">
        <v>104</v>
      </c>
      <c r="D3" s="7">
        <v>2.7383325E7</v>
      </c>
      <c r="E3" s="7">
        <v>1.0</v>
      </c>
      <c r="F3" s="11">
        <v>1.0</v>
      </c>
      <c r="G3" s="12">
        <f t="shared" ref="G3:G24" si="1">E3-F3</f>
        <v>0</v>
      </c>
      <c r="H3" s="13">
        <v>45853.0</v>
      </c>
      <c r="I3" s="14" t="s">
        <v>14</v>
      </c>
      <c r="J3" s="13">
        <v>45854.0</v>
      </c>
      <c r="K3" s="7" t="s">
        <v>408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2.7383325E7</v>
      </c>
      <c r="E4" s="7">
        <v>2.0</v>
      </c>
      <c r="F4" s="11">
        <v>2.0</v>
      </c>
      <c r="G4" s="12">
        <f t="shared" si="1"/>
        <v>0</v>
      </c>
      <c r="H4" s="13">
        <v>45853.0</v>
      </c>
      <c r="I4" s="14" t="s">
        <v>14</v>
      </c>
      <c r="J4" s="13">
        <v>45854.0</v>
      </c>
      <c r="K4" s="7" t="s">
        <v>408</v>
      </c>
      <c r="L4" s="9"/>
    </row>
    <row r="5">
      <c r="A5" s="7">
        <v>3.0</v>
      </c>
      <c r="B5" s="8">
        <v>9.08202098E8</v>
      </c>
      <c r="C5" s="9" t="s">
        <v>22</v>
      </c>
      <c r="D5" s="7">
        <v>2.7383325E7</v>
      </c>
      <c r="E5" s="7">
        <v>2.0</v>
      </c>
      <c r="F5" s="11">
        <v>2.0</v>
      </c>
      <c r="G5" s="12">
        <f t="shared" si="1"/>
        <v>0</v>
      </c>
      <c r="H5" s="13">
        <v>45853.0</v>
      </c>
      <c r="I5" s="14" t="s">
        <v>14</v>
      </c>
      <c r="J5" s="13">
        <v>45854.0</v>
      </c>
      <c r="K5" s="7" t="s">
        <v>408</v>
      </c>
      <c r="L5" s="9"/>
    </row>
    <row r="6">
      <c r="A6" s="7">
        <v>4.0</v>
      </c>
      <c r="B6" s="8">
        <v>9.0820203E8</v>
      </c>
      <c r="C6" s="9" t="s">
        <v>19</v>
      </c>
      <c r="D6" s="7">
        <v>2.7383325E7</v>
      </c>
      <c r="E6" s="7">
        <v>2.0</v>
      </c>
      <c r="F6" s="11">
        <v>2.0</v>
      </c>
      <c r="G6" s="12">
        <f t="shared" si="1"/>
        <v>0</v>
      </c>
      <c r="H6" s="13">
        <v>45853.0</v>
      </c>
      <c r="I6" s="14" t="s">
        <v>14</v>
      </c>
      <c r="J6" s="13">
        <v>45854.0</v>
      </c>
      <c r="K6" s="7" t="s">
        <v>408</v>
      </c>
      <c r="L6" s="9"/>
    </row>
    <row r="7">
      <c r="A7" s="7">
        <v>5.0</v>
      </c>
      <c r="B7" s="8">
        <v>9.08121008E8</v>
      </c>
      <c r="C7" s="9" t="s">
        <v>17</v>
      </c>
      <c r="D7" s="7">
        <v>2.7383325E7</v>
      </c>
      <c r="E7" s="7">
        <v>2.0</v>
      </c>
      <c r="F7" s="11">
        <v>2.0</v>
      </c>
      <c r="G7" s="12">
        <f t="shared" si="1"/>
        <v>0</v>
      </c>
      <c r="H7" s="13">
        <v>45853.0</v>
      </c>
      <c r="I7" s="14" t="s">
        <v>14</v>
      </c>
      <c r="J7" s="13">
        <v>45854.0</v>
      </c>
      <c r="K7" s="7" t="s">
        <v>408</v>
      </c>
      <c r="L7" s="9"/>
    </row>
    <row r="8">
      <c r="A8" s="7">
        <v>6.0</v>
      </c>
      <c r="B8" s="8">
        <v>9.0812101E8</v>
      </c>
      <c r="C8" s="9" t="s">
        <v>18</v>
      </c>
      <c r="D8" s="7">
        <v>2.7383325E7</v>
      </c>
      <c r="E8" s="7">
        <v>2.0</v>
      </c>
      <c r="F8" s="11">
        <f>1+1</f>
        <v>2</v>
      </c>
      <c r="G8" s="12">
        <f t="shared" si="1"/>
        <v>0</v>
      </c>
      <c r="H8" s="13">
        <v>45853.0</v>
      </c>
      <c r="I8" s="14" t="s">
        <v>14</v>
      </c>
      <c r="J8" s="13" t="s">
        <v>480</v>
      </c>
      <c r="K8" s="7" t="s">
        <v>408</v>
      </c>
      <c r="L8" s="9"/>
    </row>
    <row r="9">
      <c r="A9" s="7">
        <v>7.0</v>
      </c>
      <c r="B9" s="8">
        <v>9.08111005E8</v>
      </c>
      <c r="C9" s="9" t="s">
        <v>26</v>
      </c>
      <c r="D9" s="7">
        <v>2.7383325E7</v>
      </c>
      <c r="E9" s="7">
        <v>65.0</v>
      </c>
      <c r="F9" s="11">
        <v>65.0</v>
      </c>
      <c r="G9" s="12">
        <f t="shared" si="1"/>
        <v>0</v>
      </c>
      <c r="H9" s="13">
        <v>45853.0</v>
      </c>
      <c r="I9" s="14" t="s">
        <v>14</v>
      </c>
      <c r="J9" s="13">
        <v>45854.0</v>
      </c>
      <c r="K9" s="7" t="s">
        <v>408</v>
      </c>
      <c r="L9" s="9"/>
    </row>
    <row r="10">
      <c r="A10" s="7">
        <v>8.0</v>
      </c>
      <c r="B10" s="8" t="s">
        <v>27</v>
      </c>
      <c r="C10" s="9" t="s">
        <v>28</v>
      </c>
      <c r="D10" s="7">
        <v>2.7383325E7</v>
      </c>
      <c r="E10" s="7">
        <v>32.0</v>
      </c>
      <c r="F10" s="11">
        <v>6.0</v>
      </c>
      <c r="G10" s="12">
        <f t="shared" si="1"/>
        <v>26</v>
      </c>
      <c r="H10" s="13">
        <v>45855.0</v>
      </c>
      <c r="I10" s="14" t="s">
        <v>14</v>
      </c>
      <c r="J10" s="13">
        <v>45854.0</v>
      </c>
      <c r="K10" s="7" t="s">
        <v>408</v>
      </c>
      <c r="L10" s="9" t="s">
        <v>341</v>
      </c>
    </row>
    <row r="11">
      <c r="A11" s="7">
        <v>9.0</v>
      </c>
      <c r="B11" s="8">
        <v>9.08111101E8</v>
      </c>
      <c r="C11" s="9" t="s">
        <v>24</v>
      </c>
      <c r="D11" s="7">
        <v>2.7383325E7</v>
      </c>
      <c r="E11" s="7">
        <v>6.0</v>
      </c>
      <c r="F11" s="11">
        <v>6.0</v>
      </c>
      <c r="G11" s="12">
        <f t="shared" si="1"/>
        <v>0</v>
      </c>
      <c r="H11" s="13">
        <v>45855.0</v>
      </c>
      <c r="I11" s="14" t="s">
        <v>14</v>
      </c>
      <c r="J11" s="13">
        <v>45854.0</v>
      </c>
      <c r="K11" s="7" t="s">
        <v>408</v>
      </c>
      <c r="L11" s="9"/>
    </row>
    <row r="12">
      <c r="A12" s="7">
        <v>10.0</v>
      </c>
      <c r="B12" s="8">
        <v>9.08122011E8</v>
      </c>
      <c r="C12" s="9" t="s">
        <v>417</v>
      </c>
      <c r="D12" s="7">
        <v>2.7383325E7</v>
      </c>
      <c r="E12" s="7">
        <v>3.0</v>
      </c>
      <c r="F12" s="11">
        <v>3.0</v>
      </c>
      <c r="G12" s="12">
        <f t="shared" si="1"/>
        <v>0</v>
      </c>
      <c r="H12" s="13">
        <v>45853.0</v>
      </c>
      <c r="I12" s="14" t="s">
        <v>14</v>
      </c>
      <c r="J12" s="13">
        <v>45858.0</v>
      </c>
      <c r="K12" s="7" t="s">
        <v>408</v>
      </c>
      <c r="L12" s="9"/>
    </row>
    <row r="13">
      <c r="A13" s="7">
        <v>11.0</v>
      </c>
      <c r="B13" s="8">
        <v>9.08020201E8</v>
      </c>
      <c r="C13" s="9" t="s">
        <v>13</v>
      </c>
      <c r="D13" s="7">
        <v>2.7383325E7</v>
      </c>
      <c r="E13" s="7">
        <v>1.0</v>
      </c>
      <c r="F13" s="11"/>
      <c r="G13" s="12">
        <f t="shared" si="1"/>
        <v>1</v>
      </c>
      <c r="H13" s="13">
        <v>45853.0</v>
      </c>
      <c r="I13" s="14" t="s">
        <v>14</v>
      </c>
      <c r="J13" s="13"/>
      <c r="K13" s="7"/>
      <c r="L13" s="9"/>
    </row>
    <row r="14">
      <c r="A14" s="7">
        <v>12.0</v>
      </c>
      <c r="B14" s="8">
        <v>9.08421025E8</v>
      </c>
      <c r="C14" s="9" t="s">
        <v>112</v>
      </c>
      <c r="D14" s="10">
        <v>2.7825263E7</v>
      </c>
      <c r="E14" s="7">
        <v>1.0</v>
      </c>
      <c r="F14" s="11">
        <v>1.0</v>
      </c>
      <c r="G14" s="12">
        <f t="shared" si="1"/>
        <v>0</v>
      </c>
      <c r="H14" s="13">
        <v>45932.0</v>
      </c>
      <c r="I14" s="14" t="s">
        <v>14</v>
      </c>
      <c r="J14" s="13">
        <v>45932.0</v>
      </c>
      <c r="K14" s="7" t="s">
        <v>16</v>
      </c>
      <c r="L14" s="9"/>
    </row>
    <row r="15">
      <c r="A15" s="7">
        <v>13.0</v>
      </c>
      <c r="B15" s="8">
        <v>9.08402208E8</v>
      </c>
      <c r="C15" s="9" t="s">
        <v>111</v>
      </c>
      <c r="D15" s="10">
        <v>2.7825263E7</v>
      </c>
      <c r="E15" s="7">
        <v>5.0</v>
      </c>
      <c r="F15" s="11">
        <v>5.0</v>
      </c>
      <c r="G15" s="12">
        <f t="shared" si="1"/>
        <v>0</v>
      </c>
      <c r="H15" s="13">
        <v>45932.0</v>
      </c>
      <c r="I15" s="14" t="s">
        <v>14</v>
      </c>
      <c r="J15" s="13">
        <v>45932.0</v>
      </c>
      <c r="K15" s="7" t="s">
        <v>16</v>
      </c>
      <c r="L15" s="9"/>
    </row>
    <row r="16">
      <c r="A16" s="7">
        <v>14.0</v>
      </c>
      <c r="B16" s="8">
        <v>9.08371012E8</v>
      </c>
      <c r="C16" s="9" t="s">
        <v>150</v>
      </c>
      <c r="D16" s="10">
        <v>2.7825263E7</v>
      </c>
      <c r="E16" s="7">
        <v>5.0</v>
      </c>
      <c r="F16" s="11">
        <v>5.0</v>
      </c>
      <c r="G16" s="12">
        <f t="shared" si="1"/>
        <v>0</v>
      </c>
      <c r="H16" s="13">
        <v>45932.0</v>
      </c>
      <c r="I16" s="14" t="s">
        <v>14</v>
      </c>
      <c r="J16" s="13">
        <v>45932.0</v>
      </c>
      <c r="K16" s="7" t="s">
        <v>16</v>
      </c>
      <c r="L16" s="9"/>
    </row>
    <row r="17">
      <c r="A17" s="7">
        <v>15.0</v>
      </c>
      <c r="B17" s="8">
        <v>9.08111101E8</v>
      </c>
      <c r="C17" s="9" t="s">
        <v>24</v>
      </c>
      <c r="D17" s="10">
        <v>2.7825263E7</v>
      </c>
      <c r="E17" s="7">
        <v>8.0</v>
      </c>
      <c r="F17" s="11">
        <v>6.0</v>
      </c>
      <c r="G17" s="12">
        <f t="shared" si="1"/>
        <v>2</v>
      </c>
      <c r="H17" s="13">
        <v>45959.0</v>
      </c>
      <c r="I17" s="14" t="s">
        <v>14</v>
      </c>
      <c r="J17" s="13">
        <v>45932.0</v>
      </c>
      <c r="K17" s="7" t="s">
        <v>16</v>
      </c>
      <c r="L17" s="9"/>
    </row>
    <row r="18">
      <c r="A18" s="7">
        <v>16.0</v>
      </c>
      <c r="B18" s="8">
        <v>9.0812201E8</v>
      </c>
      <c r="C18" s="9" t="s">
        <v>80</v>
      </c>
      <c r="D18" s="10">
        <v>2.7825263E7</v>
      </c>
      <c r="E18" s="7">
        <v>16.0</v>
      </c>
      <c r="F18" s="11"/>
      <c r="G18" s="12">
        <f t="shared" si="1"/>
        <v>16</v>
      </c>
      <c r="H18" s="13">
        <v>45932.0</v>
      </c>
      <c r="I18" s="14" t="s">
        <v>14</v>
      </c>
      <c r="J18" s="13"/>
      <c r="K18" s="7"/>
      <c r="L18" s="9"/>
    </row>
    <row r="19">
      <c r="A19" s="7">
        <v>17.0</v>
      </c>
      <c r="B19" s="8">
        <v>9.08202189E8</v>
      </c>
      <c r="C19" s="9" t="s">
        <v>55</v>
      </c>
      <c r="D19" s="10">
        <v>2.7825263E7</v>
      </c>
      <c r="E19" s="7">
        <v>2.0</v>
      </c>
      <c r="F19" s="11">
        <v>3.0</v>
      </c>
      <c r="G19" s="12">
        <f t="shared" si="1"/>
        <v>-1</v>
      </c>
      <c r="H19" s="13">
        <v>45932.0</v>
      </c>
      <c r="I19" s="14" t="s">
        <v>14</v>
      </c>
      <c r="J19" s="13">
        <v>45932.0</v>
      </c>
      <c r="K19" s="7" t="s">
        <v>16</v>
      </c>
      <c r="L19" s="9"/>
    </row>
    <row r="20">
      <c r="A20" s="7">
        <v>18.0</v>
      </c>
      <c r="B20" s="8" t="s">
        <v>20</v>
      </c>
      <c r="C20" s="9" t="s">
        <v>21</v>
      </c>
      <c r="D20" s="10">
        <v>2.7825263E7</v>
      </c>
      <c r="E20" s="7">
        <v>2.0</v>
      </c>
      <c r="F20" s="11">
        <v>2.0</v>
      </c>
      <c r="G20" s="12">
        <f t="shared" si="1"/>
        <v>0</v>
      </c>
      <c r="H20" s="13">
        <v>45932.0</v>
      </c>
      <c r="I20" s="14" t="s">
        <v>14</v>
      </c>
      <c r="J20" s="13">
        <v>45932.0</v>
      </c>
      <c r="K20" s="7" t="s">
        <v>16</v>
      </c>
      <c r="L20" s="9"/>
    </row>
    <row r="21" ht="15.75" customHeight="1">
      <c r="A21" s="7">
        <v>19.0</v>
      </c>
      <c r="B21" s="8">
        <v>9.08020201E8</v>
      </c>
      <c r="C21" s="9" t="s">
        <v>13</v>
      </c>
      <c r="D21" s="10">
        <v>2.7825263E7</v>
      </c>
      <c r="E21" s="7"/>
      <c r="F21" s="11"/>
      <c r="G21" s="12">
        <f t="shared" si="1"/>
        <v>0</v>
      </c>
      <c r="H21" s="13"/>
      <c r="I21" s="14"/>
      <c r="J21" s="13"/>
      <c r="K21" s="7"/>
      <c r="L21" s="9"/>
    </row>
    <row r="22" ht="15.75" customHeight="1">
      <c r="A22" s="7">
        <v>20.0</v>
      </c>
      <c r="B22" s="8">
        <v>9.0820203E8</v>
      </c>
      <c r="C22" s="9" t="s">
        <v>19</v>
      </c>
      <c r="D22" s="10">
        <v>2.7825263E7</v>
      </c>
      <c r="E22" s="7">
        <v>25.0</v>
      </c>
      <c r="F22" s="11"/>
      <c r="G22" s="12">
        <f t="shared" si="1"/>
        <v>25</v>
      </c>
      <c r="H22" s="13">
        <v>45932.0</v>
      </c>
      <c r="I22" s="14" t="s">
        <v>14</v>
      </c>
      <c r="J22" s="13"/>
      <c r="K22" s="7"/>
      <c r="L22" s="9"/>
    </row>
    <row r="23" ht="15.75" customHeight="1">
      <c r="A23" s="7">
        <v>21.0</v>
      </c>
      <c r="B23" s="8">
        <v>9.08122003E8</v>
      </c>
      <c r="C23" s="9" t="s">
        <v>368</v>
      </c>
      <c r="D23" s="10">
        <v>2.7825263E7</v>
      </c>
      <c r="E23" s="7">
        <v>16.0</v>
      </c>
      <c r="F23" s="11"/>
      <c r="G23" s="12">
        <f t="shared" si="1"/>
        <v>16</v>
      </c>
      <c r="H23" s="13">
        <v>45932.0</v>
      </c>
      <c r="I23" s="14" t="s">
        <v>14</v>
      </c>
      <c r="J23" s="13"/>
      <c r="K23" s="7"/>
      <c r="L23" s="9"/>
    </row>
    <row r="24" ht="15.75" customHeight="1">
      <c r="A24" s="7">
        <v>22.0</v>
      </c>
      <c r="B24" s="8">
        <v>9.08421031E8</v>
      </c>
      <c r="C24" s="20" t="s">
        <v>122</v>
      </c>
      <c r="D24" s="10">
        <v>2.7825263E7</v>
      </c>
      <c r="E24" s="7">
        <v>2.0</v>
      </c>
      <c r="F24" s="11">
        <v>2.0</v>
      </c>
      <c r="G24" s="12">
        <f t="shared" si="1"/>
        <v>0</v>
      </c>
      <c r="H24" s="13">
        <v>45932.0</v>
      </c>
      <c r="I24" s="14" t="s">
        <v>14</v>
      </c>
      <c r="J24" s="13">
        <v>45932.0</v>
      </c>
      <c r="K24" s="7" t="s">
        <v>16</v>
      </c>
      <c r="L24" s="9"/>
    </row>
    <row r="25" ht="15.75" customHeight="1"/>
    <row r="26" ht="15.75" customHeight="1">
      <c r="B26" s="8"/>
      <c r="C26" s="20"/>
      <c r="D26" s="10"/>
      <c r="E26" s="7"/>
      <c r="F26" s="1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84.0"/>
    <col customWidth="1" min="4" max="4" width="24.43"/>
    <col customWidth="1" min="5" max="5" width="22.43"/>
    <col customWidth="1" min="6" max="6" width="21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6.75" customHeight="1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4.0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43.5" customHeight="1">
      <c r="A3" s="7">
        <v>1.0</v>
      </c>
      <c r="B3" s="23" t="s">
        <v>44</v>
      </c>
      <c r="C3" s="20" t="s">
        <v>482</v>
      </c>
      <c r="D3" s="7">
        <v>2.7394531E7</v>
      </c>
      <c r="E3" s="7">
        <v>6.0</v>
      </c>
      <c r="F3" s="11">
        <f>6+3</f>
        <v>9</v>
      </c>
      <c r="G3" s="12">
        <f t="shared" ref="G3:G31" si="1">E3-F3</f>
        <v>-3</v>
      </c>
      <c r="H3" s="21">
        <v>45853.0</v>
      </c>
      <c r="I3" s="9" t="s">
        <v>14</v>
      </c>
      <c r="J3" s="22" t="s">
        <v>483</v>
      </c>
      <c r="K3" s="7" t="s">
        <v>427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30.0" customHeight="1">
      <c r="A4" s="7">
        <v>2.0</v>
      </c>
      <c r="B4" s="20">
        <v>9.05727954E8</v>
      </c>
      <c r="C4" s="20" t="s">
        <v>484</v>
      </c>
      <c r="D4" s="7">
        <v>2.7394531E7</v>
      </c>
      <c r="E4" s="7">
        <v>12.0</v>
      </c>
      <c r="F4" s="11"/>
      <c r="G4" s="12">
        <f t="shared" si="1"/>
        <v>12</v>
      </c>
      <c r="H4" s="21">
        <v>45860.0</v>
      </c>
      <c r="I4" s="9" t="s">
        <v>14</v>
      </c>
      <c r="J4" s="22"/>
      <c r="K4" s="7"/>
      <c r="L4" s="9"/>
    </row>
    <row r="5" ht="30.0" customHeight="1">
      <c r="A5" s="7">
        <v>3.0</v>
      </c>
      <c r="B5" s="20" t="s">
        <v>35</v>
      </c>
      <c r="C5" s="20" t="s">
        <v>36</v>
      </c>
      <c r="D5" s="7">
        <v>2.7394531E7</v>
      </c>
      <c r="E5" s="7">
        <v>15.0</v>
      </c>
      <c r="F5" s="11">
        <v>15.0</v>
      </c>
      <c r="G5" s="12">
        <f t="shared" si="1"/>
        <v>0</v>
      </c>
      <c r="H5" s="21">
        <v>45860.0</v>
      </c>
      <c r="I5" s="9" t="s">
        <v>14</v>
      </c>
      <c r="J5" s="22">
        <v>45862.0</v>
      </c>
      <c r="K5" s="7" t="s">
        <v>427</v>
      </c>
      <c r="L5" s="9"/>
    </row>
    <row r="6" ht="30.0" customHeight="1">
      <c r="A6" s="7">
        <v>4.0</v>
      </c>
      <c r="B6" s="20" t="s">
        <v>485</v>
      </c>
      <c r="C6" s="20" t="s">
        <v>423</v>
      </c>
      <c r="D6" s="7">
        <v>2.7394531E7</v>
      </c>
      <c r="E6" s="7">
        <v>15.0</v>
      </c>
      <c r="F6" s="11">
        <v>15.0</v>
      </c>
      <c r="G6" s="12">
        <f t="shared" si="1"/>
        <v>0</v>
      </c>
      <c r="H6" s="21">
        <v>45860.0</v>
      </c>
      <c r="I6" s="9" t="s">
        <v>14</v>
      </c>
      <c r="J6" s="22">
        <v>45862.0</v>
      </c>
      <c r="K6" s="7" t="s">
        <v>427</v>
      </c>
      <c r="L6" s="9"/>
    </row>
    <row r="7" ht="30.0" customHeight="1">
      <c r="A7" s="7">
        <v>5.0</v>
      </c>
      <c r="B7" s="20">
        <v>9.08318103E8</v>
      </c>
      <c r="C7" s="20" t="s">
        <v>486</v>
      </c>
      <c r="D7" s="7">
        <v>2.7394531E7</v>
      </c>
      <c r="E7" s="7">
        <v>1.0</v>
      </c>
      <c r="F7" s="11">
        <v>1.0</v>
      </c>
      <c r="G7" s="12">
        <f t="shared" si="1"/>
        <v>0</v>
      </c>
      <c r="H7" s="21">
        <v>45852.0</v>
      </c>
      <c r="I7" s="9" t="s">
        <v>14</v>
      </c>
      <c r="J7" s="22">
        <v>45857.0</v>
      </c>
      <c r="K7" s="7" t="s">
        <v>427</v>
      </c>
      <c r="L7" s="9"/>
    </row>
    <row r="8" ht="30.0" customHeight="1">
      <c r="A8" s="7">
        <v>6.0</v>
      </c>
      <c r="B8" s="20">
        <v>9.08513024E8</v>
      </c>
      <c r="C8" s="20" t="s">
        <v>487</v>
      </c>
      <c r="D8" s="7">
        <v>2.7394531E7</v>
      </c>
      <c r="E8" s="7">
        <v>1.0</v>
      </c>
      <c r="F8" s="11">
        <v>1.0</v>
      </c>
      <c r="G8" s="12">
        <f t="shared" si="1"/>
        <v>0</v>
      </c>
      <c r="H8" s="21">
        <v>45852.0</v>
      </c>
      <c r="I8" s="9" t="s">
        <v>14</v>
      </c>
      <c r="J8" s="22">
        <v>45857.0</v>
      </c>
      <c r="K8" s="7" t="s">
        <v>427</v>
      </c>
      <c r="L8" s="9"/>
    </row>
    <row r="9" ht="30.0" customHeight="1">
      <c r="A9" s="7">
        <v>7.0</v>
      </c>
      <c r="B9" s="20">
        <v>9.08111102E8</v>
      </c>
      <c r="C9" s="20" t="s">
        <v>420</v>
      </c>
      <c r="D9" s="7">
        <v>2.7394531E7</v>
      </c>
      <c r="E9" s="7">
        <v>40.0</v>
      </c>
      <c r="F9" s="11">
        <v>40.0</v>
      </c>
      <c r="G9" s="12">
        <f t="shared" si="1"/>
        <v>0</v>
      </c>
      <c r="H9" s="21">
        <v>45854.0</v>
      </c>
      <c r="I9" s="9" t="s">
        <v>14</v>
      </c>
      <c r="J9" s="22">
        <v>45862.0</v>
      </c>
      <c r="K9" s="7" t="s">
        <v>427</v>
      </c>
      <c r="L9" s="17"/>
    </row>
    <row r="10" ht="49.5" customHeight="1">
      <c r="A10" s="7">
        <v>8.0</v>
      </c>
      <c r="B10" s="23" t="s">
        <v>40</v>
      </c>
      <c r="C10" s="20" t="s">
        <v>41</v>
      </c>
      <c r="D10" s="7">
        <v>2.7394531E7</v>
      </c>
      <c r="E10" s="7">
        <v>6.0</v>
      </c>
      <c r="F10" s="11">
        <v>6.0</v>
      </c>
      <c r="G10" s="12">
        <f t="shared" si="1"/>
        <v>0</v>
      </c>
      <c r="H10" s="21">
        <v>45853.0</v>
      </c>
      <c r="I10" s="9" t="s">
        <v>14</v>
      </c>
      <c r="J10" s="22" t="s">
        <v>483</v>
      </c>
      <c r="K10" s="7" t="s">
        <v>427</v>
      </c>
      <c r="L10" s="17"/>
    </row>
    <row r="11" ht="51.0" customHeight="1">
      <c r="A11" s="7">
        <v>9.0</v>
      </c>
      <c r="B11" s="23" t="s">
        <v>46</v>
      </c>
      <c r="C11" s="20" t="s">
        <v>47</v>
      </c>
      <c r="D11" s="7">
        <v>2.7394531E7</v>
      </c>
      <c r="E11" s="7">
        <v>3.0</v>
      </c>
      <c r="F11" s="11">
        <f t="shared" ref="F11:F12" si="2">6+3</f>
        <v>9</v>
      </c>
      <c r="G11" s="12">
        <f t="shared" si="1"/>
        <v>-6</v>
      </c>
      <c r="H11" s="21">
        <v>45873.0</v>
      </c>
      <c r="I11" s="9" t="s">
        <v>14</v>
      </c>
      <c r="J11" s="22" t="s">
        <v>483</v>
      </c>
      <c r="K11" s="7" t="s">
        <v>427</v>
      </c>
      <c r="L11" s="17"/>
    </row>
    <row r="12" ht="40.5" customHeight="1">
      <c r="A12" s="7">
        <v>10.0</v>
      </c>
      <c r="B12" s="20">
        <v>9.05728003E8</v>
      </c>
      <c r="C12" s="20" t="s">
        <v>488</v>
      </c>
      <c r="D12" s="7">
        <v>2.7394531E7</v>
      </c>
      <c r="E12" s="7">
        <v>6.0</v>
      </c>
      <c r="F12" s="11">
        <f t="shared" si="2"/>
        <v>9</v>
      </c>
      <c r="G12" s="12">
        <f t="shared" si="1"/>
        <v>-3</v>
      </c>
      <c r="H12" s="21">
        <v>45860.0</v>
      </c>
      <c r="I12" s="9" t="s">
        <v>14</v>
      </c>
      <c r="J12" s="22" t="s">
        <v>483</v>
      </c>
      <c r="K12" s="7" t="s">
        <v>427</v>
      </c>
      <c r="L12" s="17"/>
    </row>
    <row r="13" ht="30.0" customHeight="1">
      <c r="A13" s="7">
        <v>11.0</v>
      </c>
      <c r="B13" s="20">
        <v>9.05728015E8</v>
      </c>
      <c r="C13" s="20" t="s">
        <v>489</v>
      </c>
      <c r="D13" s="7">
        <v>2.7394531E7</v>
      </c>
      <c r="E13" s="7">
        <v>10.0</v>
      </c>
      <c r="F13" s="56"/>
      <c r="G13" s="12">
        <f t="shared" si="1"/>
        <v>10</v>
      </c>
      <c r="H13" s="21">
        <v>45860.0</v>
      </c>
      <c r="I13" s="9" t="s">
        <v>14</v>
      </c>
      <c r="J13" s="22"/>
      <c r="K13" s="17"/>
      <c r="L13" s="17"/>
    </row>
    <row r="14" ht="30.0" customHeight="1">
      <c r="A14" s="7">
        <v>12.0</v>
      </c>
      <c r="B14" s="20">
        <v>9.05743739E8</v>
      </c>
      <c r="C14" s="20" t="s">
        <v>42</v>
      </c>
      <c r="D14" s="7">
        <v>2.7394531E7</v>
      </c>
      <c r="E14" s="7">
        <v>31.0</v>
      </c>
      <c r="F14" s="56"/>
      <c r="G14" s="12">
        <f t="shared" si="1"/>
        <v>31</v>
      </c>
      <c r="H14" s="21">
        <v>45860.0</v>
      </c>
      <c r="I14" s="9" t="s">
        <v>14</v>
      </c>
      <c r="J14" s="22"/>
      <c r="K14" s="17"/>
      <c r="L14" s="17"/>
    </row>
    <row r="15" ht="30.0" customHeight="1">
      <c r="A15" s="7">
        <v>13.0</v>
      </c>
      <c r="B15" s="20">
        <v>9.0577328E8</v>
      </c>
      <c r="C15" s="20" t="s">
        <v>490</v>
      </c>
      <c r="D15" s="7">
        <v>2.7394531E7</v>
      </c>
      <c r="E15" s="7">
        <v>1.0</v>
      </c>
      <c r="F15" s="11">
        <v>1.0</v>
      </c>
      <c r="G15" s="12">
        <f t="shared" si="1"/>
        <v>0</v>
      </c>
      <c r="H15" s="21">
        <v>45852.0</v>
      </c>
      <c r="I15" s="9" t="s">
        <v>14</v>
      </c>
      <c r="J15" s="22">
        <v>45857.0</v>
      </c>
      <c r="K15" s="7" t="s">
        <v>427</v>
      </c>
      <c r="L15" s="17"/>
    </row>
    <row r="16" ht="30.0" customHeight="1">
      <c r="A16" s="7">
        <v>14.0</v>
      </c>
      <c r="B16" s="20">
        <v>9.08402206E8</v>
      </c>
      <c r="C16" s="20" t="s">
        <v>82</v>
      </c>
      <c r="D16" s="7">
        <v>2.7394531E7</v>
      </c>
      <c r="E16" s="7">
        <v>1.0</v>
      </c>
      <c r="F16" s="11">
        <v>1.0</v>
      </c>
      <c r="G16" s="12">
        <f t="shared" si="1"/>
        <v>0</v>
      </c>
      <c r="H16" s="21">
        <v>45852.0</v>
      </c>
      <c r="I16" s="9" t="s">
        <v>14</v>
      </c>
      <c r="J16" s="22">
        <v>45896.0</v>
      </c>
      <c r="K16" s="7" t="s">
        <v>427</v>
      </c>
      <c r="L16" s="17"/>
    </row>
    <row r="17" ht="30.0" customHeight="1">
      <c r="A17" s="7">
        <v>15.0</v>
      </c>
      <c r="B17" s="20">
        <v>9.08020201E8</v>
      </c>
      <c r="C17" s="20" t="s">
        <v>13</v>
      </c>
      <c r="D17" s="7">
        <v>2.7394531E7</v>
      </c>
      <c r="E17" s="7">
        <v>1.0</v>
      </c>
      <c r="F17" s="11"/>
      <c r="G17" s="12">
        <f t="shared" si="1"/>
        <v>1</v>
      </c>
      <c r="H17" s="21">
        <v>45852.0</v>
      </c>
      <c r="I17" s="9" t="s">
        <v>14</v>
      </c>
      <c r="J17" s="22"/>
      <c r="K17" s="17"/>
      <c r="L17" s="17"/>
    </row>
    <row r="18" ht="30.0" customHeight="1">
      <c r="A18" s="7">
        <v>16.0</v>
      </c>
      <c r="B18" s="20">
        <v>9.05727926E8</v>
      </c>
      <c r="C18" s="38" t="s">
        <v>356</v>
      </c>
      <c r="D18" s="7">
        <v>2.7394531E7</v>
      </c>
      <c r="E18" s="7">
        <v>6.0</v>
      </c>
      <c r="F18" s="11">
        <v>3.0</v>
      </c>
      <c r="G18" s="12">
        <f t="shared" si="1"/>
        <v>3</v>
      </c>
      <c r="H18" s="21">
        <v>45853.0</v>
      </c>
      <c r="I18" s="9" t="s">
        <v>14</v>
      </c>
      <c r="J18" s="22">
        <v>45934.0</v>
      </c>
      <c r="K18" s="7" t="s">
        <v>427</v>
      </c>
      <c r="L18" s="17"/>
    </row>
    <row r="19" ht="30.0" customHeight="1">
      <c r="A19" s="7">
        <v>17.0</v>
      </c>
      <c r="B19" s="20">
        <v>9.05727936E8</v>
      </c>
      <c r="C19" s="38" t="s">
        <v>87</v>
      </c>
      <c r="D19" s="7">
        <v>2.7394531E7</v>
      </c>
      <c r="E19" s="7">
        <v>9.0</v>
      </c>
      <c r="F19" s="11"/>
      <c r="G19" s="12">
        <f t="shared" si="1"/>
        <v>9</v>
      </c>
      <c r="H19" s="21">
        <v>45853.0</v>
      </c>
      <c r="I19" s="9" t="s">
        <v>14</v>
      </c>
      <c r="J19" s="22"/>
      <c r="K19" s="17"/>
      <c r="L19" s="17"/>
    </row>
    <row r="20" ht="30.0" customHeight="1">
      <c r="A20" s="7">
        <v>18.0</v>
      </c>
      <c r="B20" s="20">
        <v>9.08421004E8</v>
      </c>
      <c r="C20" s="9" t="s">
        <v>85</v>
      </c>
      <c r="D20" s="7">
        <v>2.7394531E7</v>
      </c>
      <c r="E20" s="7">
        <v>1.0</v>
      </c>
      <c r="F20" s="11">
        <v>1.0</v>
      </c>
      <c r="G20" s="12">
        <f t="shared" si="1"/>
        <v>0</v>
      </c>
      <c r="H20" s="21">
        <v>45853.0</v>
      </c>
      <c r="I20" s="9" t="s">
        <v>14</v>
      </c>
      <c r="J20" s="22">
        <v>45896.0</v>
      </c>
      <c r="K20" s="7" t="s">
        <v>427</v>
      </c>
      <c r="L20" s="17"/>
    </row>
    <row r="21" ht="30.0" customHeight="1">
      <c r="A21" s="7">
        <v>19.0</v>
      </c>
      <c r="B21" s="20">
        <v>9.08501007E8</v>
      </c>
      <c r="C21" s="9" t="s">
        <v>491</v>
      </c>
      <c r="D21" s="7">
        <v>2.7394531E7</v>
      </c>
      <c r="E21" s="7">
        <v>3.0</v>
      </c>
      <c r="F21" s="11">
        <v>3.0</v>
      </c>
      <c r="G21" s="12">
        <f t="shared" si="1"/>
        <v>0</v>
      </c>
      <c r="H21" s="21">
        <v>45860.0</v>
      </c>
      <c r="I21" s="9" t="s">
        <v>14</v>
      </c>
      <c r="J21" s="22">
        <v>45872.0</v>
      </c>
      <c r="K21" s="7" t="s">
        <v>427</v>
      </c>
      <c r="L21" s="17"/>
    </row>
    <row r="22" ht="30.0" customHeight="1">
      <c r="A22" s="7">
        <v>20.0</v>
      </c>
      <c r="B22" s="20" t="s">
        <v>20</v>
      </c>
      <c r="C22" s="20" t="s">
        <v>21</v>
      </c>
      <c r="D22" s="7">
        <v>2.7394531E7</v>
      </c>
      <c r="E22" s="7">
        <v>6.0</v>
      </c>
      <c r="F22" s="11">
        <v>6.0</v>
      </c>
      <c r="G22" s="12">
        <f t="shared" si="1"/>
        <v>0</v>
      </c>
      <c r="H22" s="21">
        <v>45860.0</v>
      </c>
      <c r="I22" s="9" t="s">
        <v>14</v>
      </c>
      <c r="J22" s="22">
        <v>45862.0</v>
      </c>
      <c r="K22" s="7" t="s">
        <v>427</v>
      </c>
      <c r="L22" s="17"/>
    </row>
    <row r="23" ht="30.0" customHeight="1">
      <c r="A23" s="7">
        <v>21.0</v>
      </c>
      <c r="B23" s="20">
        <v>9.05759635E8</v>
      </c>
      <c r="C23" s="20" t="s">
        <v>492</v>
      </c>
      <c r="D23" s="7">
        <v>2.7394531E7</v>
      </c>
      <c r="E23" s="7">
        <v>9.0</v>
      </c>
      <c r="F23" s="11"/>
      <c r="G23" s="12">
        <f t="shared" si="1"/>
        <v>9</v>
      </c>
      <c r="H23" s="21">
        <v>45860.0</v>
      </c>
      <c r="I23" s="9" t="s">
        <v>14</v>
      </c>
      <c r="J23" s="22"/>
      <c r="K23" s="17"/>
      <c r="L23" s="17"/>
    </row>
    <row r="24" ht="30.0" customHeight="1">
      <c r="A24" s="7">
        <v>22.0</v>
      </c>
      <c r="B24" s="20">
        <v>9.05708973E8</v>
      </c>
      <c r="C24" s="9" t="s">
        <v>493</v>
      </c>
      <c r="D24" s="7">
        <v>2.7394531E7</v>
      </c>
      <c r="E24" s="7">
        <v>2.0</v>
      </c>
      <c r="F24" s="11"/>
      <c r="G24" s="12">
        <f t="shared" si="1"/>
        <v>2</v>
      </c>
      <c r="H24" s="21">
        <v>45860.0</v>
      </c>
      <c r="I24" s="9" t="s">
        <v>14</v>
      </c>
      <c r="J24" s="22"/>
      <c r="K24" s="17"/>
      <c r="L24" s="17"/>
    </row>
    <row r="25" ht="30.0" customHeight="1">
      <c r="A25" s="7">
        <v>23.0</v>
      </c>
      <c r="B25" s="20">
        <v>9.05704111E8</v>
      </c>
      <c r="C25" s="9" t="s">
        <v>494</v>
      </c>
      <c r="D25" s="7">
        <v>2.7394531E7</v>
      </c>
      <c r="E25" s="7">
        <v>12.0</v>
      </c>
      <c r="F25" s="11"/>
      <c r="G25" s="12">
        <f t="shared" si="1"/>
        <v>12</v>
      </c>
      <c r="H25" s="21">
        <v>45860.0</v>
      </c>
      <c r="I25" s="9" t="s">
        <v>14</v>
      </c>
      <c r="J25" s="22"/>
      <c r="K25" s="17"/>
      <c r="L25" s="17"/>
    </row>
    <row r="26" ht="30.0" customHeight="1">
      <c r="A26" s="7">
        <v>24.0</v>
      </c>
      <c r="B26" s="20">
        <v>9.08111004E8</v>
      </c>
      <c r="C26" s="9" t="s">
        <v>495</v>
      </c>
      <c r="D26" s="7">
        <v>2.7394531E7</v>
      </c>
      <c r="E26" s="7">
        <v>70.0</v>
      </c>
      <c r="F26" s="11">
        <v>70.0</v>
      </c>
      <c r="G26" s="12">
        <f t="shared" si="1"/>
        <v>0</v>
      </c>
      <c r="H26" s="21">
        <v>45860.0</v>
      </c>
      <c r="I26" s="9" t="s">
        <v>14</v>
      </c>
      <c r="J26" s="22">
        <v>45876.0</v>
      </c>
      <c r="K26" s="7" t="s">
        <v>427</v>
      </c>
      <c r="L26" s="17"/>
    </row>
    <row r="27" ht="30.0" customHeight="1">
      <c r="A27" s="7">
        <v>25.0</v>
      </c>
      <c r="B27" s="20">
        <v>9.0811101E8</v>
      </c>
      <c r="C27" s="9" t="s">
        <v>473</v>
      </c>
      <c r="D27" s="7">
        <v>2.7394531E7</v>
      </c>
      <c r="E27" s="7">
        <v>10.0</v>
      </c>
      <c r="F27" s="11">
        <v>10.0</v>
      </c>
      <c r="G27" s="12">
        <f t="shared" si="1"/>
        <v>0</v>
      </c>
      <c r="H27" s="21">
        <v>45861.0</v>
      </c>
      <c r="I27" s="9" t="s">
        <v>14</v>
      </c>
      <c r="J27" s="22">
        <v>45872.0</v>
      </c>
      <c r="K27" s="7" t="s">
        <v>427</v>
      </c>
      <c r="L27" s="17"/>
    </row>
    <row r="28" ht="49.5" customHeight="1">
      <c r="A28" s="7">
        <v>26.0</v>
      </c>
      <c r="B28" s="20">
        <v>9.05728066E8</v>
      </c>
      <c r="C28" s="38" t="s">
        <v>496</v>
      </c>
      <c r="D28" s="7">
        <v>2.7394531E7</v>
      </c>
      <c r="E28" s="7">
        <v>126.0</v>
      </c>
      <c r="F28" s="11">
        <f>30+135</f>
        <v>165</v>
      </c>
      <c r="G28" s="12">
        <f t="shared" si="1"/>
        <v>-39</v>
      </c>
      <c r="H28" s="21">
        <v>45865.0</v>
      </c>
      <c r="I28" s="9" t="s">
        <v>14</v>
      </c>
      <c r="J28" s="22" t="s">
        <v>497</v>
      </c>
      <c r="K28" s="7" t="s">
        <v>427</v>
      </c>
      <c r="L28" s="17"/>
    </row>
    <row r="29" ht="49.5" customHeight="1">
      <c r="A29" s="7">
        <v>27.0</v>
      </c>
      <c r="B29" s="23" t="s">
        <v>498</v>
      </c>
      <c r="C29" s="38" t="s">
        <v>499</v>
      </c>
      <c r="D29" s="7"/>
      <c r="E29" s="7"/>
      <c r="F29" s="11">
        <v>3.0</v>
      </c>
      <c r="G29" s="12">
        <f t="shared" si="1"/>
        <v>-3</v>
      </c>
      <c r="H29" s="21"/>
      <c r="I29" s="9"/>
      <c r="J29" s="22">
        <v>45894.0</v>
      </c>
      <c r="K29" s="7" t="s">
        <v>427</v>
      </c>
      <c r="L29" s="17"/>
    </row>
    <row r="30" ht="41.25" customHeight="1">
      <c r="A30" s="7">
        <v>28.0</v>
      </c>
      <c r="B30" s="23" t="s">
        <v>500</v>
      </c>
      <c r="C30" s="38" t="s">
        <v>501</v>
      </c>
      <c r="D30" s="7">
        <v>2.7394531E7</v>
      </c>
      <c r="E30" s="7">
        <v>3.0</v>
      </c>
      <c r="F30" s="11">
        <v>3.0</v>
      </c>
      <c r="G30" s="12">
        <f t="shared" si="1"/>
        <v>0</v>
      </c>
      <c r="H30" s="21">
        <v>45902.0</v>
      </c>
      <c r="I30" s="9" t="s">
        <v>14</v>
      </c>
      <c r="J30" s="22">
        <v>45932.0</v>
      </c>
      <c r="K30" s="7" t="s">
        <v>427</v>
      </c>
      <c r="L30" s="17"/>
    </row>
    <row r="31" ht="30.0" customHeight="1">
      <c r="A31" s="7">
        <v>29.0</v>
      </c>
      <c r="B31" s="20">
        <v>9.08122006E8</v>
      </c>
      <c r="C31" s="38" t="s">
        <v>502</v>
      </c>
      <c r="D31" s="7">
        <v>2.7394531E7</v>
      </c>
      <c r="E31" s="7">
        <v>14.0</v>
      </c>
      <c r="F31" s="11">
        <v>14.0</v>
      </c>
      <c r="G31" s="12">
        <f t="shared" si="1"/>
        <v>0</v>
      </c>
      <c r="H31" s="21">
        <v>45908.0</v>
      </c>
      <c r="I31" s="9" t="s">
        <v>14</v>
      </c>
      <c r="J31" s="22">
        <v>45909.0</v>
      </c>
      <c r="K31" s="7" t="s">
        <v>427</v>
      </c>
      <c r="L31" s="17"/>
    </row>
    <row r="32" ht="30.0" customHeight="1">
      <c r="B32" s="111"/>
      <c r="C32" s="112"/>
    </row>
    <row r="33" ht="30.0" customHeight="1">
      <c r="A33" s="113" t="s">
        <v>503</v>
      </c>
      <c r="B33" s="114"/>
      <c r="C33" s="114"/>
      <c r="D33" s="114"/>
      <c r="E33" s="114"/>
      <c r="F33" s="115"/>
    </row>
    <row r="34" ht="30.0" customHeight="1">
      <c r="A34" s="116" t="s">
        <v>1</v>
      </c>
      <c r="B34" s="116" t="s">
        <v>2</v>
      </c>
      <c r="C34" s="116" t="s">
        <v>3</v>
      </c>
      <c r="D34" s="116" t="s">
        <v>5</v>
      </c>
      <c r="E34" s="116" t="s">
        <v>504</v>
      </c>
      <c r="F34" s="116" t="s">
        <v>89</v>
      </c>
    </row>
    <row r="35" ht="30.0" customHeight="1">
      <c r="A35" s="20">
        <v>1.0</v>
      </c>
      <c r="B35" s="20">
        <v>9.05728066E8</v>
      </c>
      <c r="C35" s="38" t="s">
        <v>496</v>
      </c>
      <c r="D35" s="38">
        <f>0.5+0.58+0.4+0.48+0.48+0.4+0.33+0.45+0.4+0.4</f>
        <v>4.42</v>
      </c>
      <c r="E35" s="7" t="s">
        <v>427</v>
      </c>
      <c r="F35" s="15">
        <v>45894.0</v>
      </c>
    </row>
    <row r="36" ht="30.0" customHeight="1">
      <c r="A36" s="20">
        <v>2.0</v>
      </c>
      <c r="B36" s="20" t="s">
        <v>176</v>
      </c>
      <c r="C36" s="38" t="s">
        <v>505</v>
      </c>
      <c r="D36" s="38">
        <v>2.0</v>
      </c>
      <c r="E36" s="7" t="s">
        <v>427</v>
      </c>
      <c r="F36" s="15">
        <v>45894.0</v>
      </c>
      <c r="G36" s="117" t="s">
        <v>506</v>
      </c>
      <c r="H36" s="3"/>
    </row>
    <row r="37" ht="30.0" customHeight="1">
      <c r="A37" s="20">
        <v>3.0</v>
      </c>
      <c r="B37" s="20" t="s">
        <v>176</v>
      </c>
      <c r="C37" s="38" t="s">
        <v>507</v>
      </c>
      <c r="D37" s="38">
        <v>2.0</v>
      </c>
      <c r="E37" s="7" t="s">
        <v>427</v>
      </c>
      <c r="F37" s="15">
        <v>45894.0</v>
      </c>
    </row>
    <row r="38" ht="30.0" customHeight="1">
      <c r="A38" s="20">
        <v>4.0</v>
      </c>
      <c r="B38" s="118">
        <v>3.00064149E8</v>
      </c>
      <c r="C38" s="38" t="s">
        <v>508</v>
      </c>
      <c r="D38" s="38">
        <f>4.2+2.4+4</f>
        <v>10.6</v>
      </c>
      <c r="E38" s="7" t="s">
        <v>427</v>
      </c>
      <c r="F38" s="15">
        <v>45934.0</v>
      </c>
    </row>
    <row r="39" ht="30.0" customHeight="1">
      <c r="A39" s="20">
        <v>5.0</v>
      </c>
      <c r="B39" s="8">
        <v>9.08402206E8</v>
      </c>
      <c r="C39" s="38" t="s">
        <v>82</v>
      </c>
      <c r="D39" s="38">
        <v>1.0</v>
      </c>
      <c r="E39" s="7" t="s">
        <v>427</v>
      </c>
      <c r="F39" s="15">
        <v>45946.0</v>
      </c>
    </row>
    <row r="40" ht="30.0" customHeight="1">
      <c r="A40" s="20">
        <v>6.0</v>
      </c>
      <c r="B40" s="118" t="s">
        <v>176</v>
      </c>
      <c r="C40" s="38" t="s">
        <v>509</v>
      </c>
      <c r="D40" s="38">
        <v>3.0</v>
      </c>
      <c r="E40" s="7" t="s">
        <v>427</v>
      </c>
      <c r="F40" s="15">
        <v>45946.0</v>
      </c>
    </row>
    <row r="41" ht="30.0" customHeight="1">
      <c r="A41" s="20"/>
      <c r="B41" s="118"/>
      <c r="C41" s="118"/>
      <c r="D41" s="38"/>
      <c r="E41" s="7"/>
      <c r="F41" s="15"/>
    </row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3">
    <mergeCell ref="A1:L1"/>
    <mergeCell ref="A33:F33"/>
    <mergeCell ref="G36:H36"/>
  </mergeCells>
  <printOptions/>
  <pageMargins bottom="0.75" footer="0.0" header="0.0" left="0.7" right="0.7" top="0.75"/>
  <pageSetup scale="27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7">
        <v>2.7391781E7</v>
      </c>
      <c r="E3" s="7">
        <v>2.0</v>
      </c>
      <c r="F3" s="11">
        <v>2.0</v>
      </c>
      <c r="G3" s="12">
        <f t="shared" ref="G3:G23" si="1">E3-F3</f>
        <v>0</v>
      </c>
      <c r="H3" s="13">
        <v>45851.0</v>
      </c>
      <c r="I3" s="14" t="s">
        <v>14</v>
      </c>
      <c r="J3" s="13">
        <v>45861.0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2.7391781E7</v>
      </c>
      <c r="E4" s="7">
        <v>2.0</v>
      </c>
      <c r="F4" s="11">
        <v>2.0</v>
      </c>
      <c r="G4" s="12">
        <f t="shared" si="1"/>
        <v>0</v>
      </c>
      <c r="H4" s="13">
        <v>45851.0</v>
      </c>
      <c r="I4" s="14" t="s">
        <v>14</v>
      </c>
      <c r="J4" s="13">
        <v>45861.0</v>
      </c>
      <c r="K4" s="7" t="s">
        <v>283</v>
      </c>
      <c r="L4" s="9"/>
    </row>
    <row r="5">
      <c r="A5" s="7">
        <v>3.0</v>
      </c>
      <c r="B5" s="19" t="s">
        <v>103</v>
      </c>
      <c r="C5" s="20" t="s">
        <v>104</v>
      </c>
      <c r="D5" s="7">
        <v>2.7391781E7</v>
      </c>
      <c r="E5" s="7">
        <v>1.0</v>
      </c>
      <c r="F5" s="11">
        <v>1.0</v>
      </c>
      <c r="G5" s="12">
        <f t="shared" si="1"/>
        <v>0</v>
      </c>
      <c r="H5" s="13">
        <v>45851.0</v>
      </c>
      <c r="I5" s="14" t="s">
        <v>14</v>
      </c>
      <c r="J5" s="13">
        <v>45861.0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7">
        <v>2.7391781E7</v>
      </c>
      <c r="E6" s="7">
        <v>2.0</v>
      </c>
      <c r="F6" s="11">
        <v>2.0</v>
      </c>
      <c r="G6" s="12">
        <f t="shared" si="1"/>
        <v>0</v>
      </c>
      <c r="H6" s="13">
        <v>45851.0</v>
      </c>
      <c r="I6" s="14" t="s">
        <v>14</v>
      </c>
      <c r="J6" s="13">
        <v>45861.0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7">
        <v>2.7391781E7</v>
      </c>
      <c r="E7" s="7">
        <v>2.0</v>
      </c>
      <c r="F7" s="11">
        <v>2.0</v>
      </c>
      <c r="G7" s="12">
        <f t="shared" si="1"/>
        <v>0</v>
      </c>
      <c r="H7" s="13">
        <v>45865.0</v>
      </c>
      <c r="I7" s="14" t="s">
        <v>14</v>
      </c>
      <c r="J7" s="13"/>
      <c r="K7" s="7"/>
      <c r="L7" s="9"/>
    </row>
    <row r="8">
      <c r="A8" s="7">
        <v>6.0</v>
      </c>
      <c r="B8" s="8">
        <v>9.0812101E8</v>
      </c>
      <c r="C8" s="9" t="s">
        <v>18</v>
      </c>
      <c r="D8" s="7">
        <v>2.7391781E7</v>
      </c>
      <c r="E8" s="7">
        <v>2.0</v>
      </c>
      <c r="F8" s="11">
        <f>1+1</f>
        <v>2</v>
      </c>
      <c r="G8" s="12">
        <f t="shared" si="1"/>
        <v>0</v>
      </c>
      <c r="H8" s="13">
        <v>45851.0</v>
      </c>
      <c r="I8" s="14" t="s">
        <v>14</v>
      </c>
      <c r="J8" s="13" t="s">
        <v>511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7">
        <v>2.7391781E7</v>
      </c>
      <c r="E9" s="7">
        <v>1.0</v>
      </c>
      <c r="F9" s="11"/>
      <c r="G9" s="12">
        <f t="shared" si="1"/>
        <v>1</v>
      </c>
      <c r="H9" s="13">
        <v>45851.0</v>
      </c>
      <c r="I9" s="14" t="s">
        <v>14</v>
      </c>
      <c r="J9" s="13"/>
      <c r="K9" s="7"/>
      <c r="L9" s="9"/>
    </row>
    <row r="10">
      <c r="A10" s="7">
        <v>8.0</v>
      </c>
      <c r="B10" s="8" t="s">
        <v>25</v>
      </c>
      <c r="C10" s="9" t="s">
        <v>26</v>
      </c>
      <c r="D10" s="7">
        <v>2.7391781E7</v>
      </c>
      <c r="E10" s="7">
        <v>12.0</v>
      </c>
      <c r="F10" s="11">
        <v>6.0</v>
      </c>
      <c r="G10" s="12">
        <f t="shared" si="1"/>
        <v>6</v>
      </c>
      <c r="H10" s="13">
        <v>45872.0</v>
      </c>
      <c r="I10" s="14" t="s">
        <v>14</v>
      </c>
      <c r="J10" s="13">
        <v>45861.0</v>
      </c>
      <c r="K10" s="7" t="s">
        <v>283</v>
      </c>
      <c r="L10" s="9"/>
    </row>
    <row r="11">
      <c r="A11" s="7">
        <v>9.0</v>
      </c>
      <c r="B11" s="8" t="s">
        <v>27</v>
      </c>
      <c r="C11" s="9" t="s">
        <v>28</v>
      </c>
      <c r="D11" s="7">
        <v>2.7391781E7</v>
      </c>
      <c r="E11" s="7">
        <v>112.0</v>
      </c>
      <c r="F11" s="11">
        <v>112.0</v>
      </c>
      <c r="G11" s="12">
        <f t="shared" si="1"/>
        <v>0</v>
      </c>
      <c r="H11" s="13">
        <v>45861.0</v>
      </c>
      <c r="I11" s="14" t="s">
        <v>14</v>
      </c>
      <c r="J11" s="13">
        <v>45851.0</v>
      </c>
      <c r="K11" s="7" t="s">
        <v>283</v>
      </c>
      <c r="L11" s="9"/>
    </row>
    <row r="12">
      <c r="A12" s="7">
        <v>10.0</v>
      </c>
      <c r="B12" s="8">
        <v>9.08111101E8</v>
      </c>
      <c r="C12" s="9" t="s">
        <v>24</v>
      </c>
      <c r="D12" s="7">
        <v>2.7391781E7</v>
      </c>
      <c r="E12" s="7">
        <v>6.0</v>
      </c>
      <c r="F12" s="11">
        <v>6.0</v>
      </c>
      <c r="G12" s="12">
        <f t="shared" si="1"/>
        <v>0</v>
      </c>
      <c r="H12" s="13"/>
      <c r="I12" s="14" t="s">
        <v>14</v>
      </c>
      <c r="J12" s="13">
        <v>45861.0</v>
      </c>
      <c r="K12" s="7" t="s">
        <v>283</v>
      </c>
      <c r="L12" s="9"/>
    </row>
    <row r="13">
      <c r="A13" s="7">
        <v>11.0</v>
      </c>
      <c r="B13" s="8">
        <v>9.08122011E8</v>
      </c>
      <c r="C13" s="9" t="s">
        <v>417</v>
      </c>
      <c r="D13" s="7">
        <v>2.7391781E7</v>
      </c>
      <c r="E13" s="7">
        <v>3.0</v>
      </c>
      <c r="F13" s="11">
        <v>3.0</v>
      </c>
      <c r="G13" s="12">
        <f t="shared" si="1"/>
        <v>0</v>
      </c>
      <c r="H13" s="13">
        <v>45851.0</v>
      </c>
      <c r="I13" s="14" t="s">
        <v>14</v>
      </c>
      <c r="J13" s="13">
        <v>45744.0</v>
      </c>
      <c r="K13" s="7" t="s">
        <v>478</v>
      </c>
      <c r="L13" s="9"/>
    </row>
    <row r="14">
      <c r="A14" s="7">
        <v>12.0</v>
      </c>
      <c r="B14" s="8">
        <v>9.0812201E8</v>
      </c>
      <c r="C14" s="9" t="s">
        <v>80</v>
      </c>
      <c r="D14" s="7">
        <v>2.7567349E7</v>
      </c>
      <c r="E14" s="7">
        <v>8.0</v>
      </c>
      <c r="F14" s="11">
        <v>8.0</v>
      </c>
      <c r="G14" s="12">
        <f t="shared" si="1"/>
        <v>0</v>
      </c>
      <c r="H14" s="13">
        <v>45882.0</v>
      </c>
      <c r="I14" s="14" t="s">
        <v>14</v>
      </c>
      <c r="J14" s="13">
        <v>45883.0</v>
      </c>
      <c r="K14" s="7" t="s">
        <v>283</v>
      </c>
      <c r="L14" s="9"/>
    </row>
    <row r="15">
      <c r="A15" s="7">
        <v>13.0</v>
      </c>
      <c r="B15" s="8">
        <v>9.08122037E8</v>
      </c>
      <c r="C15" s="20" t="s">
        <v>512</v>
      </c>
      <c r="D15" s="7">
        <v>2.7567349E7</v>
      </c>
      <c r="E15" s="7">
        <v>4.0</v>
      </c>
      <c r="F15" s="11">
        <v>4.0</v>
      </c>
      <c r="G15" s="12">
        <f t="shared" si="1"/>
        <v>0</v>
      </c>
      <c r="H15" s="13">
        <v>45882.0</v>
      </c>
      <c r="I15" s="14" t="s">
        <v>14</v>
      </c>
      <c r="J15" s="13">
        <v>45883.0</v>
      </c>
      <c r="K15" s="7" t="s">
        <v>283</v>
      </c>
      <c r="L15" s="9"/>
    </row>
    <row r="16">
      <c r="A16" s="7">
        <v>14.0</v>
      </c>
      <c r="B16" s="9">
        <v>9.08402206E8</v>
      </c>
      <c r="C16" s="9" t="s">
        <v>82</v>
      </c>
      <c r="D16" s="7">
        <v>2.7567349E7</v>
      </c>
      <c r="E16" s="7">
        <v>1.0</v>
      </c>
      <c r="F16" s="11">
        <v>1.0</v>
      </c>
      <c r="G16" s="12">
        <f t="shared" si="1"/>
        <v>0</v>
      </c>
      <c r="H16" s="13">
        <v>45882.0</v>
      </c>
      <c r="I16" s="14" t="s">
        <v>14</v>
      </c>
      <c r="J16" s="13">
        <v>45883.0</v>
      </c>
      <c r="K16" s="7" t="s">
        <v>283</v>
      </c>
      <c r="L16" s="9"/>
    </row>
    <row r="17">
      <c r="A17" s="7">
        <v>15.0</v>
      </c>
      <c r="B17" s="9">
        <v>9.08421005E8</v>
      </c>
      <c r="C17" s="29" t="s">
        <v>315</v>
      </c>
      <c r="D17" s="7">
        <v>2.7567349E7</v>
      </c>
      <c r="E17" s="7">
        <v>1.0</v>
      </c>
      <c r="F17" s="11">
        <v>1.0</v>
      </c>
      <c r="G17" s="12">
        <f t="shared" si="1"/>
        <v>0</v>
      </c>
      <c r="H17" s="13">
        <v>45882.0</v>
      </c>
      <c r="I17" s="14" t="s">
        <v>14</v>
      </c>
      <c r="J17" s="13">
        <v>45883.0</v>
      </c>
      <c r="K17" s="7" t="s">
        <v>283</v>
      </c>
      <c r="L17" s="9"/>
    </row>
    <row r="18">
      <c r="A18" s="7">
        <v>16.0</v>
      </c>
      <c r="B18" s="8">
        <v>9.08375004E8</v>
      </c>
      <c r="C18" s="9" t="s">
        <v>513</v>
      </c>
      <c r="D18" s="7">
        <v>2.7567349E7</v>
      </c>
      <c r="E18" s="7">
        <v>1.0</v>
      </c>
      <c r="F18" s="11">
        <v>1.0</v>
      </c>
      <c r="G18" s="12">
        <f t="shared" si="1"/>
        <v>0</v>
      </c>
      <c r="H18" s="13">
        <v>45882.0</v>
      </c>
      <c r="I18" s="14" t="s">
        <v>14</v>
      </c>
      <c r="J18" s="13">
        <v>45883.0</v>
      </c>
      <c r="K18" s="7" t="s">
        <v>283</v>
      </c>
      <c r="L18" s="9"/>
    </row>
    <row r="19">
      <c r="A19" s="7">
        <v>17.0</v>
      </c>
      <c r="B19" s="8">
        <v>9.08202189E8</v>
      </c>
      <c r="C19" s="20" t="s">
        <v>55</v>
      </c>
      <c r="D19" s="7">
        <v>2.7567349E7</v>
      </c>
      <c r="E19" s="7">
        <v>1.0</v>
      </c>
      <c r="F19" s="11">
        <v>1.0</v>
      </c>
      <c r="G19" s="12">
        <f t="shared" si="1"/>
        <v>0</v>
      </c>
      <c r="H19" s="13">
        <v>45882.0</v>
      </c>
      <c r="I19" s="14" t="s">
        <v>14</v>
      </c>
      <c r="J19" s="13">
        <v>45883.0</v>
      </c>
      <c r="K19" s="7" t="s">
        <v>283</v>
      </c>
      <c r="L19" s="9"/>
    </row>
    <row r="20">
      <c r="A20" s="7">
        <v>18.0</v>
      </c>
      <c r="B20" s="19" t="s">
        <v>20</v>
      </c>
      <c r="C20" s="20" t="s">
        <v>21</v>
      </c>
      <c r="D20" s="7">
        <v>2.7567349E7</v>
      </c>
      <c r="E20" s="7">
        <v>1.0</v>
      </c>
      <c r="F20" s="11">
        <v>1.0</v>
      </c>
      <c r="G20" s="12">
        <f t="shared" si="1"/>
        <v>0</v>
      </c>
      <c r="H20" s="13">
        <v>45882.0</v>
      </c>
      <c r="I20" s="14" t="s">
        <v>14</v>
      </c>
      <c r="J20" s="13">
        <v>45883.0</v>
      </c>
      <c r="K20" s="7" t="s">
        <v>283</v>
      </c>
      <c r="L20" s="9"/>
    </row>
    <row r="21" ht="15.75" customHeight="1">
      <c r="A21" s="7">
        <v>19.0</v>
      </c>
      <c r="B21" s="9">
        <v>9.08501111E8</v>
      </c>
      <c r="C21" s="9" t="s">
        <v>125</v>
      </c>
      <c r="D21" s="7">
        <v>2.7567349E7</v>
      </c>
      <c r="E21" s="7">
        <v>3.0</v>
      </c>
      <c r="F21" s="11">
        <v>3.0</v>
      </c>
      <c r="G21" s="12">
        <f t="shared" si="1"/>
        <v>0</v>
      </c>
      <c r="H21" s="13">
        <v>45882.0</v>
      </c>
      <c r="I21" s="14" t="s">
        <v>14</v>
      </c>
      <c r="J21" s="13">
        <v>45883.0</v>
      </c>
      <c r="K21" s="7" t="s">
        <v>283</v>
      </c>
      <c r="L21" s="9"/>
    </row>
    <row r="22" ht="15.75" customHeight="1">
      <c r="A22" s="7">
        <v>20.0</v>
      </c>
      <c r="B22" s="8">
        <v>9.0820203E8</v>
      </c>
      <c r="C22" s="20" t="s">
        <v>19</v>
      </c>
      <c r="D22" s="7">
        <v>2.7567349E7</v>
      </c>
      <c r="E22" s="7">
        <v>2.0</v>
      </c>
      <c r="F22" s="11">
        <v>2.0</v>
      </c>
      <c r="G22" s="12">
        <f t="shared" si="1"/>
        <v>0</v>
      </c>
      <c r="H22" s="13">
        <v>45882.0</v>
      </c>
      <c r="I22" s="14" t="s">
        <v>14</v>
      </c>
      <c r="J22" s="13">
        <v>45883.0</v>
      </c>
      <c r="K22" s="7" t="s">
        <v>283</v>
      </c>
      <c r="L22" s="9"/>
    </row>
    <row r="23" ht="15.75" customHeight="1">
      <c r="A23" s="7">
        <v>21.0</v>
      </c>
      <c r="B23" s="8">
        <v>9.08111101E8</v>
      </c>
      <c r="C23" s="9" t="s">
        <v>24</v>
      </c>
      <c r="D23" s="7">
        <v>2.7567349E7</v>
      </c>
      <c r="E23" s="7">
        <v>2.0</v>
      </c>
      <c r="F23" s="11">
        <v>2.0</v>
      </c>
      <c r="G23" s="12">
        <f t="shared" si="1"/>
        <v>0</v>
      </c>
      <c r="H23" s="13">
        <v>45882.0</v>
      </c>
      <c r="I23" s="14" t="s">
        <v>14</v>
      </c>
      <c r="J23" s="13">
        <v>45883.0</v>
      </c>
      <c r="K23" s="7" t="s">
        <v>283</v>
      </c>
      <c r="L23" s="9"/>
    </row>
    <row r="24" ht="15.75" customHeight="1">
      <c r="A24" s="7"/>
      <c r="B24" s="8"/>
      <c r="C24" s="9"/>
      <c r="D24" s="10"/>
      <c r="E24" s="7"/>
      <c r="F24" s="11"/>
      <c r="G24" s="12"/>
      <c r="H24" s="13"/>
      <c r="I24" s="14"/>
      <c r="J24" s="13"/>
      <c r="K24" s="7"/>
      <c r="L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514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7">
        <v>2.7376646E7</v>
      </c>
      <c r="E3" s="7">
        <v>3.0</v>
      </c>
      <c r="F3" s="11">
        <v>3.0</v>
      </c>
      <c r="G3" s="12">
        <f t="shared" ref="G3:G20" si="1">E3-F3</f>
        <v>0</v>
      </c>
      <c r="H3" s="13">
        <v>45851.0</v>
      </c>
      <c r="I3" s="14" t="s">
        <v>14</v>
      </c>
      <c r="J3" s="13">
        <v>45849.0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7">
        <v>2.7376646E7</v>
      </c>
      <c r="E4" s="7">
        <v>2.0</v>
      </c>
      <c r="F4" s="11">
        <v>2.0</v>
      </c>
      <c r="G4" s="12">
        <f t="shared" si="1"/>
        <v>0</v>
      </c>
      <c r="H4" s="13">
        <v>45851.0</v>
      </c>
      <c r="I4" s="14" t="s">
        <v>14</v>
      </c>
      <c r="J4" s="13">
        <v>45849.0</v>
      </c>
      <c r="K4" s="7" t="s">
        <v>283</v>
      </c>
      <c r="L4" s="9"/>
    </row>
    <row r="5">
      <c r="A5" s="7">
        <v>3.0</v>
      </c>
      <c r="B5" s="19" t="s">
        <v>103</v>
      </c>
      <c r="C5" s="20" t="s">
        <v>104</v>
      </c>
      <c r="D5" s="7">
        <v>2.7376646E7</v>
      </c>
      <c r="E5" s="7">
        <v>1.0</v>
      </c>
      <c r="F5" s="11">
        <v>1.0</v>
      </c>
      <c r="G5" s="12">
        <f t="shared" si="1"/>
        <v>0</v>
      </c>
      <c r="H5" s="13">
        <v>45851.0</v>
      </c>
      <c r="I5" s="14" t="s">
        <v>14</v>
      </c>
      <c r="J5" s="13">
        <v>45849.0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7">
        <v>2.7376646E7</v>
      </c>
      <c r="E6" s="7">
        <v>2.0</v>
      </c>
      <c r="F6" s="11">
        <v>2.0</v>
      </c>
      <c r="G6" s="12">
        <f t="shared" si="1"/>
        <v>0</v>
      </c>
      <c r="H6" s="13">
        <v>45851.0</v>
      </c>
      <c r="I6" s="14" t="s">
        <v>14</v>
      </c>
      <c r="J6" s="13">
        <v>45849.0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7">
        <v>2.7376646E7</v>
      </c>
      <c r="E7" s="7">
        <v>2.0</v>
      </c>
      <c r="F7" s="11">
        <v>2.0</v>
      </c>
      <c r="G7" s="12">
        <f t="shared" si="1"/>
        <v>0</v>
      </c>
      <c r="H7" s="13">
        <v>45865.0</v>
      </c>
      <c r="I7" s="14" t="s">
        <v>14</v>
      </c>
      <c r="J7" s="13">
        <v>45849.0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7">
        <v>2.7376646E7</v>
      </c>
      <c r="E8" s="7">
        <v>2.0</v>
      </c>
      <c r="F8" s="11">
        <f>1+1</f>
        <v>2</v>
      </c>
      <c r="G8" s="12">
        <f t="shared" si="1"/>
        <v>0</v>
      </c>
      <c r="H8" s="13">
        <v>45851.0</v>
      </c>
      <c r="I8" s="14" t="s">
        <v>14</v>
      </c>
      <c r="J8" s="13" t="s">
        <v>515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7">
        <v>2.7376646E7</v>
      </c>
      <c r="E9" s="7">
        <v>1.0</v>
      </c>
      <c r="F9" s="11"/>
      <c r="G9" s="12">
        <f t="shared" si="1"/>
        <v>1</v>
      </c>
      <c r="H9" s="13">
        <v>45851.0</v>
      </c>
      <c r="I9" s="14" t="s">
        <v>14</v>
      </c>
      <c r="J9" s="13"/>
      <c r="K9" s="7"/>
      <c r="L9" s="9"/>
    </row>
    <row r="10">
      <c r="A10" s="7">
        <v>8.0</v>
      </c>
      <c r="B10" s="8" t="s">
        <v>25</v>
      </c>
      <c r="C10" s="9" t="s">
        <v>26</v>
      </c>
      <c r="D10" s="7">
        <v>2.7376646E7</v>
      </c>
      <c r="E10" s="7">
        <v>145.0</v>
      </c>
      <c r="F10" s="11">
        <v>6.0</v>
      </c>
      <c r="G10" s="12">
        <f t="shared" si="1"/>
        <v>139</v>
      </c>
      <c r="H10" s="13">
        <v>45872.0</v>
      </c>
      <c r="I10" s="14" t="s">
        <v>14</v>
      </c>
      <c r="J10" s="13">
        <v>45849.0</v>
      </c>
      <c r="K10" s="7" t="s">
        <v>283</v>
      </c>
      <c r="L10" s="9"/>
    </row>
    <row r="11">
      <c r="A11" s="7">
        <v>9.0</v>
      </c>
      <c r="B11" s="8" t="s">
        <v>27</v>
      </c>
      <c r="C11" s="9" t="s">
        <v>28</v>
      </c>
      <c r="D11" s="7">
        <v>2.7376646E7</v>
      </c>
      <c r="E11" s="7">
        <v>71.0</v>
      </c>
      <c r="F11" s="11">
        <v>71.0</v>
      </c>
      <c r="G11" s="12">
        <f t="shared" si="1"/>
        <v>0</v>
      </c>
      <c r="H11" s="13">
        <v>45855.0</v>
      </c>
      <c r="I11" s="14" t="s">
        <v>14</v>
      </c>
      <c r="J11" s="13">
        <v>45849.0</v>
      </c>
      <c r="K11" s="7" t="s">
        <v>283</v>
      </c>
      <c r="L11" s="9"/>
    </row>
    <row r="12">
      <c r="A12" s="7">
        <v>11.0</v>
      </c>
      <c r="B12" s="8">
        <v>9.08122011E8</v>
      </c>
      <c r="C12" s="9" t="s">
        <v>417</v>
      </c>
      <c r="D12" s="7">
        <v>2.7376646E7</v>
      </c>
      <c r="E12" s="7">
        <v>3.0</v>
      </c>
      <c r="F12" s="11">
        <v>3.0</v>
      </c>
      <c r="G12" s="12">
        <f t="shared" si="1"/>
        <v>0</v>
      </c>
      <c r="H12" s="13">
        <v>45851.0</v>
      </c>
      <c r="I12" s="14" t="s">
        <v>14</v>
      </c>
      <c r="J12" s="13">
        <v>45859.0</v>
      </c>
      <c r="K12" s="7" t="s">
        <v>283</v>
      </c>
      <c r="L12" s="9"/>
    </row>
    <row r="13">
      <c r="A13" s="7">
        <v>12.0</v>
      </c>
      <c r="B13" s="8">
        <v>9.08421025E8</v>
      </c>
      <c r="C13" s="20" t="s">
        <v>112</v>
      </c>
      <c r="D13" s="7">
        <v>2.754744E7</v>
      </c>
      <c r="E13" s="7">
        <v>3.0</v>
      </c>
      <c r="F13" s="11">
        <v>3.0</v>
      </c>
      <c r="G13" s="12">
        <f t="shared" si="1"/>
        <v>0</v>
      </c>
      <c r="H13" s="13">
        <v>45879.0</v>
      </c>
      <c r="I13" s="14" t="s">
        <v>14</v>
      </c>
      <c r="J13" s="13">
        <v>45880.0</v>
      </c>
      <c r="K13" s="7" t="s">
        <v>283</v>
      </c>
      <c r="L13" s="9"/>
    </row>
    <row r="14">
      <c r="A14" s="7">
        <v>13.0</v>
      </c>
      <c r="B14" s="8">
        <v>9.08402208E8</v>
      </c>
      <c r="C14" s="20" t="s">
        <v>111</v>
      </c>
      <c r="D14" s="7">
        <v>2.754744E7</v>
      </c>
      <c r="E14" s="7">
        <v>3.0</v>
      </c>
      <c r="F14" s="11">
        <v>3.0</v>
      </c>
      <c r="G14" s="12">
        <f t="shared" si="1"/>
        <v>0</v>
      </c>
      <c r="H14" s="13">
        <v>45879.0</v>
      </c>
      <c r="I14" s="14" t="s">
        <v>14</v>
      </c>
      <c r="J14" s="13">
        <v>45880.0</v>
      </c>
      <c r="K14" s="7" t="s">
        <v>283</v>
      </c>
      <c r="L14" s="9"/>
    </row>
    <row r="15">
      <c r="A15" s="7">
        <v>14.0</v>
      </c>
      <c r="B15" s="8">
        <v>9.08111101E8</v>
      </c>
      <c r="C15" s="20" t="s">
        <v>24</v>
      </c>
      <c r="D15" s="7">
        <v>2.754744E7</v>
      </c>
      <c r="E15" s="7">
        <v>9.0</v>
      </c>
      <c r="F15" s="11">
        <v>6.0</v>
      </c>
      <c r="G15" s="12">
        <f t="shared" si="1"/>
        <v>3</v>
      </c>
      <c r="H15" s="13">
        <v>45879.0</v>
      </c>
      <c r="I15" s="14" t="s">
        <v>14</v>
      </c>
      <c r="J15" s="13">
        <v>45849.0</v>
      </c>
      <c r="K15" s="7" t="s">
        <v>283</v>
      </c>
      <c r="L15" s="9"/>
    </row>
    <row r="16">
      <c r="A16" s="7">
        <v>15.0</v>
      </c>
      <c r="B16" s="8">
        <v>9.08371014E8</v>
      </c>
      <c r="C16" s="9" t="s">
        <v>113</v>
      </c>
      <c r="D16" s="7">
        <v>2.754744E7</v>
      </c>
      <c r="E16" s="7">
        <v>3.0</v>
      </c>
      <c r="F16" s="11">
        <v>3.0</v>
      </c>
      <c r="G16" s="12">
        <f t="shared" si="1"/>
        <v>0</v>
      </c>
      <c r="H16" s="13">
        <v>45879.0</v>
      </c>
      <c r="I16" s="14" t="s">
        <v>14</v>
      </c>
      <c r="J16" s="13">
        <v>45880.0</v>
      </c>
      <c r="K16" s="7" t="s">
        <v>283</v>
      </c>
      <c r="L16" s="9"/>
    </row>
    <row r="17">
      <c r="A17" s="7">
        <v>16.0</v>
      </c>
      <c r="B17" s="8">
        <v>9.08202189E8</v>
      </c>
      <c r="C17" s="20" t="s">
        <v>55</v>
      </c>
      <c r="D17" s="7">
        <v>2.754744E7</v>
      </c>
      <c r="E17" s="7">
        <v>3.0</v>
      </c>
      <c r="F17" s="11">
        <v>3.0</v>
      </c>
      <c r="G17" s="12">
        <f t="shared" si="1"/>
        <v>0</v>
      </c>
      <c r="H17" s="13">
        <v>45879.0</v>
      </c>
      <c r="I17" s="14" t="s">
        <v>14</v>
      </c>
      <c r="J17" s="13">
        <v>45880.0</v>
      </c>
      <c r="K17" s="7" t="s">
        <v>283</v>
      </c>
      <c r="L17" s="9"/>
    </row>
    <row r="18">
      <c r="A18" s="7">
        <v>17.0</v>
      </c>
      <c r="B18" s="19" t="s">
        <v>20</v>
      </c>
      <c r="C18" s="20" t="s">
        <v>21</v>
      </c>
      <c r="D18" s="7">
        <v>2.754744E7</v>
      </c>
      <c r="E18" s="7">
        <v>3.0</v>
      </c>
      <c r="F18" s="11">
        <v>3.0</v>
      </c>
      <c r="G18" s="12">
        <f t="shared" si="1"/>
        <v>0</v>
      </c>
      <c r="H18" s="13">
        <v>45879.0</v>
      </c>
      <c r="I18" s="14" t="s">
        <v>14</v>
      </c>
      <c r="J18" s="13">
        <v>45880.0</v>
      </c>
      <c r="K18" s="7" t="s">
        <v>283</v>
      </c>
      <c r="L18" s="9"/>
    </row>
    <row r="19">
      <c r="A19" s="7">
        <v>18.0</v>
      </c>
      <c r="B19" s="8">
        <v>9.08020201E8</v>
      </c>
      <c r="C19" s="9" t="s">
        <v>13</v>
      </c>
      <c r="D19" s="7">
        <v>2.754744E7</v>
      </c>
      <c r="E19" s="7">
        <v>3.0</v>
      </c>
      <c r="F19" s="11"/>
      <c r="G19" s="12">
        <f t="shared" si="1"/>
        <v>3</v>
      </c>
      <c r="H19" s="13">
        <v>45879.0</v>
      </c>
      <c r="I19" s="14" t="s">
        <v>14</v>
      </c>
      <c r="J19" s="13"/>
      <c r="K19" s="7"/>
      <c r="L19" s="9"/>
    </row>
    <row r="20">
      <c r="A20" s="7">
        <v>19.0</v>
      </c>
      <c r="B20" s="8">
        <v>9.0820203E8</v>
      </c>
      <c r="C20" s="20" t="s">
        <v>19</v>
      </c>
      <c r="D20" s="7">
        <v>2.754744E7</v>
      </c>
      <c r="E20" s="7">
        <v>15.0</v>
      </c>
      <c r="F20" s="11"/>
      <c r="G20" s="12">
        <f t="shared" si="1"/>
        <v>15</v>
      </c>
      <c r="H20" s="13">
        <v>45879.0</v>
      </c>
      <c r="I20" s="14" t="s">
        <v>14</v>
      </c>
      <c r="J20" s="13"/>
      <c r="K20" s="7"/>
      <c r="L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2.7046623E7</v>
      </c>
      <c r="E3" s="7">
        <v>2.0</v>
      </c>
      <c r="F3" s="11">
        <v>2.0</v>
      </c>
      <c r="G3" s="12">
        <f t="shared" ref="G3:G27" si="1">E3-F3</f>
        <v>0</v>
      </c>
      <c r="H3" s="13">
        <v>45848.0</v>
      </c>
      <c r="I3" s="14" t="s">
        <v>517</v>
      </c>
      <c r="J3" s="13">
        <v>45874.0</v>
      </c>
      <c r="K3" s="7" t="s">
        <v>435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2.7046623E7</v>
      </c>
      <c r="E4" s="7">
        <v>6.0</v>
      </c>
      <c r="F4" s="11">
        <f>4+2</f>
        <v>6</v>
      </c>
      <c r="G4" s="12">
        <f t="shared" si="1"/>
        <v>0</v>
      </c>
      <c r="H4" s="13">
        <v>45848.0</v>
      </c>
      <c r="I4" s="14" t="s">
        <v>517</v>
      </c>
      <c r="J4" s="13" t="s">
        <v>518</v>
      </c>
      <c r="K4" s="7" t="s">
        <v>435</v>
      </c>
      <c r="L4" s="9"/>
    </row>
    <row r="5">
      <c r="A5" s="7">
        <v>3.0</v>
      </c>
      <c r="B5" s="19" t="s">
        <v>103</v>
      </c>
      <c r="C5" s="20" t="s">
        <v>104</v>
      </c>
      <c r="D5" s="10">
        <v>2.7046623E7</v>
      </c>
      <c r="E5" s="7">
        <v>1.0</v>
      </c>
      <c r="F5" s="11">
        <v>1.0</v>
      </c>
      <c r="G5" s="12">
        <f t="shared" si="1"/>
        <v>0</v>
      </c>
      <c r="H5" s="13">
        <v>45848.0</v>
      </c>
      <c r="I5" s="14" t="s">
        <v>517</v>
      </c>
      <c r="J5" s="13">
        <v>45873.0</v>
      </c>
      <c r="K5" s="7" t="s">
        <v>435</v>
      </c>
      <c r="L5" s="9"/>
    </row>
    <row r="6">
      <c r="A6" s="7">
        <v>4.0</v>
      </c>
      <c r="B6" s="8">
        <v>9.08202098E8</v>
      </c>
      <c r="C6" s="9" t="s">
        <v>22</v>
      </c>
      <c r="D6" s="10">
        <v>2.7046623E7</v>
      </c>
      <c r="E6" s="7">
        <v>2.0</v>
      </c>
      <c r="F6" s="11">
        <v>2.0</v>
      </c>
      <c r="G6" s="12">
        <f t="shared" si="1"/>
        <v>0</v>
      </c>
      <c r="H6" s="13">
        <v>45848.0</v>
      </c>
      <c r="I6" s="14" t="s">
        <v>517</v>
      </c>
      <c r="J6" s="13">
        <v>45873.0</v>
      </c>
      <c r="K6" s="7" t="s">
        <v>435</v>
      </c>
      <c r="L6" s="9"/>
    </row>
    <row r="7">
      <c r="A7" s="7">
        <v>5.0</v>
      </c>
      <c r="B7" s="8">
        <v>9.0820203E8</v>
      </c>
      <c r="C7" s="9" t="s">
        <v>19</v>
      </c>
      <c r="D7" s="10">
        <v>2.7046623E7</v>
      </c>
      <c r="E7" s="7">
        <v>2.0</v>
      </c>
      <c r="F7" s="11">
        <v>2.0</v>
      </c>
      <c r="G7" s="12">
        <f t="shared" si="1"/>
        <v>0</v>
      </c>
      <c r="H7" s="13">
        <v>45848.0</v>
      </c>
      <c r="I7" s="14" t="s">
        <v>517</v>
      </c>
      <c r="J7" s="13">
        <v>45873.0</v>
      </c>
      <c r="K7" s="7" t="s">
        <v>435</v>
      </c>
      <c r="L7" s="9"/>
    </row>
    <row r="8">
      <c r="A8" s="7">
        <v>6.0</v>
      </c>
      <c r="B8" s="8">
        <v>9.0812101E8</v>
      </c>
      <c r="C8" s="9" t="s">
        <v>18</v>
      </c>
      <c r="D8" s="10">
        <v>2.7046623E7</v>
      </c>
      <c r="E8" s="7">
        <v>2.0</v>
      </c>
      <c r="F8" s="11">
        <v>2.0</v>
      </c>
      <c r="G8" s="12">
        <f t="shared" si="1"/>
        <v>0</v>
      </c>
      <c r="H8" s="13">
        <v>45848.0</v>
      </c>
      <c r="I8" s="14" t="s">
        <v>517</v>
      </c>
      <c r="J8" s="13">
        <v>45874.0</v>
      </c>
      <c r="K8" s="7" t="s">
        <v>435</v>
      </c>
      <c r="L8" s="9"/>
    </row>
    <row r="9">
      <c r="A9" s="7">
        <v>7.0</v>
      </c>
      <c r="B9" s="8">
        <v>9.08020201E8</v>
      </c>
      <c r="C9" s="9" t="s">
        <v>13</v>
      </c>
      <c r="D9" s="10">
        <v>2.7046623E7</v>
      </c>
      <c r="E9" s="7">
        <v>3.0</v>
      </c>
      <c r="F9" s="11">
        <f>2+1</f>
        <v>3</v>
      </c>
      <c r="G9" s="12">
        <f t="shared" si="1"/>
        <v>0</v>
      </c>
      <c r="H9" s="13">
        <v>45848.0</v>
      </c>
      <c r="I9" s="14" t="s">
        <v>517</v>
      </c>
      <c r="J9" s="13">
        <v>45870.0</v>
      </c>
      <c r="K9" s="7" t="s">
        <v>435</v>
      </c>
      <c r="L9" s="9"/>
    </row>
    <row r="10">
      <c r="A10" s="7">
        <v>8.0</v>
      </c>
      <c r="B10" s="8" t="s">
        <v>25</v>
      </c>
      <c r="C10" s="9" t="s">
        <v>26</v>
      </c>
      <c r="D10" s="10">
        <v>2.7046623E7</v>
      </c>
      <c r="E10" s="7">
        <v>15.0</v>
      </c>
      <c r="F10" s="11">
        <v>6.0</v>
      </c>
      <c r="G10" s="12">
        <f t="shared" si="1"/>
        <v>9</v>
      </c>
      <c r="H10" s="13">
        <v>45848.0</v>
      </c>
      <c r="I10" s="14" t="s">
        <v>517</v>
      </c>
      <c r="J10" s="13">
        <v>45874.0</v>
      </c>
      <c r="K10" s="7" t="s">
        <v>435</v>
      </c>
      <c r="L10" s="9"/>
    </row>
    <row r="11">
      <c r="A11" s="7">
        <v>9.0</v>
      </c>
      <c r="B11" s="8" t="s">
        <v>27</v>
      </c>
      <c r="C11" s="9" t="s">
        <v>28</v>
      </c>
      <c r="D11" s="10">
        <v>2.7046623E7</v>
      </c>
      <c r="E11" s="7">
        <v>83.0</v>
      </c>
      <c r="F11" s="11">
        <v>83.0</v>
      </c>
      <c r="G11" s="12">
        <f t="shared" si="1"/>
        <v>0</v>
      </c>
      <c r="H11" s="13">
        <v>45848.0</v>
      </c>
      <c r="I11" s="14" t="s">
        <v>517</v>
      </c>
      <c r="J11" s="13">
        <v>45874.0</v>
      </c>
      <c r="K11" s="7" t="s">
        <v>435</v>
      </c>
      <c r="L11" s="9"/>
    </row>
    <row r="12">
      <c r="A12" s="7">
        <v>10.0</v>
      </c>
      <c r="B12" s="8">
        <v>9.08111102E8</v>
      </c>
      <c r="C12" s="9" t="s">
        <v>145</v>
      </c>
      <c r="D12" s="10">
        <v>2.7046623E7</v>
      </c>
      <c r="E12" s="7">
        <v>25.0</v>
      </c>
      <c r="F12" s="11">
        <v>25.0</v>
      </c>
      <c r="G12" s="12">
        <f t="shared" si="1"/>
        <v>0</v>
      </c>
      <c r="H12" s="13">
        <v>45848.0</v>
      </c>
      <c r="I12" s="14" t="s">
        <v>517</v>
      </c>
      <c r="J12" s="13">
        <v>45870.0</v>
      </c>
      <c r="K12" s="7" t="s">
        <v>435</v>
      </c>
      <c r="L12" s="9"/>
    </row>
    <row r="13">
      <c r="A13" s="7">
        <v>11.0</v>
      </c>
      <c r="B13" s="8">
        <v>9.08121144E8</v>
      </c>
      <c r="C13" s="9" t="s">
        <v>425</v>
      </c>
      <c r="D13" s="10">
        <v>2.7046623E7</v>
      </c>
      <c r="E13" s="7">
        <v>2.0</v>
      </c>
      <c r="F13" s="11">
        <v>2.0</v>
      </c>
      <c r="G13" s="12">
        <f t="shared" si="1"/>
        <v>0</v>
      </c>
      <c r="H13" s="13">
        <v>45848.0</v>
      </c>
      <c r="I13" s="14" t="s">
        <v>517</v>
      </c>
      <c r="J13" s="13">
        <v>45875.0</v>
      </c>
      <c r="K13" s="7" t="s">
        <v>435</v>
      </c>
      <c r="L13" s="9"/>
    </row>
    <row r="14">
      <c r="A14" s="7">
        <v>12.0</v>
      </c>
      <c r="B14" s="8">
        <v>9.08122011E8</v>
      </c>
      <c r="C14" s="9" t="s">
        <v>417</v>
      </c>
      <c r="D14" s="10">
        <v>2.7046623E7</v>
      </c>
      <c r="E14" s="7">
        <v>3.0</v>
      </c>
      <c r="F14" s="11">
        <v>3.0</v>
      </c>
      <c r="G14" s="12">
        <f t="shared" si="1"/>
        <v>0</v>
      </c>
      <c r="H14" s="13">
        <v>45848.0</v>
      </c>
      <c r="I14" s="14" t="s">
        <v>517</v>
      </c>
      <c r="J14" s="13">
        <v>45874.0</v>
      </c>
      <c r="K14" s="7" t="s">
        <v>435</v>
      </c>
      <c r="L14" s="9"/>
    </row>
    <row r="15">
      <c r="A15" s="7">
        <v>13.0</v>
      </c>
      <c r="B15" s="8">
        <v>9.08202189E8</v>
      </c>
      <c r="C15" s="9" t="s">
        <v>423</v>
      </c>
      <c r="D15" s="10">
        <v>2.7046623E7</v>
      </c>
      <c r="E15" s="7">
        <v>8.0</v>
      </c>
      <c r="F15" s="11">
        <v>8.0</v>
      </c>
      <c r="G15" s="12">
        <f t="shared" si="1"/>
        <v>0</v>
      </c>
      <c r="H15" s="13">
        <v>45848.0</v>
      </c>
      <c r="I15" s="14" t="s">
        <v>517</v>
      </c>
      <c r="J15" s="13">
        <v>45870.0</v>
      </c>
      <c r="K15" s="7" t="s">
        <v>435</v>
      </c>
      <c r="L15" s="9"/>
    </row>
    <row r="16">
      <c r="A16" s="7">
        <v>14.0</v>
      </c>
      <c r="B16" s="19">
        <v>9.08113004E8</v>
      </c>
      <c r="C16" s="20" t="s">
        <v>70</v>
      </c>
      <c r="D16" s="10">
        <v>2.7046623E7</v>
      </c>
      <c r="E16" s="7">
        <v>8.0</v>
      </c>
      <c r="F16" s="11">
        <v>8.0</v>
      </c>
      <c r="G16" s="12">
        <f t="shared" si="1"/>
        <v>0</v>
      </c>
      <c r="H16" s="13">
        <v>45848.0</v>
      </c>
      <c r="I16" s="14" t="s">
        <v>517</v>
      </c>
      <c r="J16" s="13">
        <v>45870.0</v>
      </c>
      <c r="K16" s="7" t="s">
        <v>435</v>
      </c>
      <c r="L16" s="9"/>
    </row>
    <row r="17">
      <c r="A17" s="7">
        <v>15.0</v>
      </c>
      <c r="B17" s="8">
        <v>9.0812104E8</v>
      </c>
      <c r="C17" s="29" t="s">
        <v>66</v>
      </c>
      <c r="D17" s="10">
        <v>2.7046623E7</v>
      </c>
      <c r="E17" s="7">
        <v>2.0</v>
      </c>
      <c r="F17" s="11">
        <v>2.0</v>
      </c>
      <c r="G17" s="12">
        <f t="shared" si="1"/>
        <v>0</v>
      </c>
      <c r="H17" s="13">
        <v>45848.0</v>
      </c>
      <c r="I17" s="14" t="s">
        <v>517</v>
      </c>
      <c r="J17" s="13">
        <v>45870.0</v>
      </c>
      <c r="K17" s="7" t="s">
        <v>435</v>
      </c>
      <c r="L17" s="9"/>
    </row>
    <row r="18">
      <c r="A18" s="7">
        <v>16.0</v>
      </c>
      <c r="B18" s="8">
        <v>9.08569114E8</v>
      </c>
      <c r="C18" s="9" t="s">
        <v>149</v>
      </c>
      <c r="D18" s="10">
        <v>2.7046623E7</v>
      </c>
      <c r="E18" s="7">
        <v>1.0</v>
      </c>
      <c r="F18" s="11">
        <v>1.0</v>
      </c>
      <c r="G18" s="12">
        <f t="shared" si="1"/>
        <v>0</v>
      </c>
      <c r="H18" s="13">
        <v>45848.0</v>
      </c>
      <c r="I18" s="14" t="s">
        <v>517</v>
      </c>
      <c r="J18" s="13">
        <v>45870.0</v>
      </c>
      <c r="K18" s="7" t="s">
        <v>435</v>
      </c>
      <c r="L18" s="9"/>
    </row>
    <row r="19">
      <c r="A19" s="7">
        <v>17.0</v>
      </c>
      <c r="B19" s="8">
        <v>9.08321012E8</v>
      </c>
      <c r="C19" s="29" t="s">
        <v>380</v>
      </c>
      <c r="D19" s="10">
        <v>2.7046623E7</v>
      </c>
      <c r="E19" s="7">
        <v>1.0</v>
      </c>
      <c r="F19" s="11">
        <v>1.0</v>
      </c>
      <c r="G19" s="12">
        <f t="shared" si="1"/>
        <v>0</v>
      </c>
      <c r="H19" s="13">
        <v>45848.0</v>
      </c>
      <c r="I19" s="14" t="s">
        <v>517</v>
      </c>
      <c r="J19" s="13">
        <v>45870.0</v>
      </c>
      <c r="K19" s="7" t="s">
        <v>435</v>
      </c>
      <c r="L19" s="9"/>
    </row>
    <row r="20">
      <c r="A20" s="7">
        <v>18.0</v>
      </c>
      <c r="B20" s="8">
        <v>9.08122034E8</v>
      </c>
      <c r="C20" s="9" t="s">
        <v>36</v>
      </c>
      <c r="D20" s="10">
        <v>2.7046623E7</v>
      </c>
      <c r="E20" s="7">
        <v>8.0</v>
      </c>
      <c r="F20" s="11">
        <v>8.0</v>
      </c>
      <c r="G20" s="12">
        <f t="shared" si="1"/>
        <v>0</v>
      </c>
      <c r="H20" s="13">
        <v>45848.0</v>
      </c>
      <c r="I20" s="14" t="s">
        <v>517</v>
      </c>
      <c r="J20" s="13">
        <v>45870.0</v>
      </c>
      <c r="K20" s="7" t="s">
        <v>435</v>
      </c>
      <c r="L20" s="9"/>
    </row>
    <row r="21" ht="15.75" customHeight="1">
      <c r="A21" s="7">
        <v>19.0</v>
      </c>
      <c r="B21" s="8">
        <v>9.08114004E8</v>
      </c>
      <c r="C21" s="9" t="s">
        <v>69</v>
      </c>
      <c r="D21" s="10">
        <v>2.7046623E7</v>
      </c>
      <c r="E21" s="7">
        <f>90+5</f>
        <v>95</v>
      </c>
      <c r="F21" s="11">
        <f>52+43</f>
        <v>95</v>
      </c>
      <c r="G21" s="12">
        <f t="shared" si="1"/>
        <v>0</v>
      </c>
      <c r="H21" s="13" t="s">
        <v>519</v>
      </c>
      <c r="I21" s="14" t="s">
        <v>517</v>
      </c>
      <c r="J21" s="13">
        <v>45875.0</v>
      </c>
      <c r="K21" s="7" t="s">
        <v>435</v>
      </c>
      <c r="L21" s="9"/>
    </row>
    <row r="22" ht="15.75" customHeight="1">
      <c r="A22" s="7">
        <v>20.0</v>
      </c>
      <c r="B22" s="8">
        <v>9.0812115E8</v>
      </c>
      <c r="C22" s="9" t="s">
        <v>426</v>
      </c>
      <c r="D22" s="10">
        <v>2.7046623E7</v>
      </c>
      <c r="E22" s="7">
        <v>2.0</v>
      </c>
      <c r="F22" s="11">
        <v>2.0</v>
      </c>
      <c r="G22" s="12">
        <f t="shared" si="1"/>
        <v>0</v>
      </c>
      <c r="H22" s="13">
        <v>45848.0</v>
      </c>
      <c r="I22" s="14" t="s">
        <v>517</v>
      </c>
      <c r="J22" s="13">
        <v>45900.0</v>
      </c>
      <c r="K22" s="7" t="s">
        <v>435</v>
      </c>
      <c r="L22" s="9"/>
    </row>
    <row r="23" ht="15.75" customHeight="1">
      <c r="A23" s="7">
        <v>21.0</v>
      </c>
      <c r="B23" s="8">
        <v>9.08111101E8</v>
      </c>
      <c r="C23" s="9" t="s">
        <v>24</v>
      </c>
      <c r="D23" s="10">
        <v>2.7046623E7</v>
      </c>
      <c r="E23" s="7">
        <v>6.0</v>
      </c>
      <c r="F23" s="11">
        <v>6.0</v>
      </c>
      <c r="G23" s="12">
        <f t="shared" si="1"/>
        <v>0</v>
      </c>
      <c r="H23" s="13">
        <v>45848.0</v>
      </c>
      <c r="I23" s="14" t="s">
        <v>517</v>
      </c>
      <c r="J23" s="13">
        <v>45873.0</v>
      </c>
      <c r="K23" s="7" t="s">
        <v>435</v>
      </c>
      <c r="L23" s="9"/>
    </row>
    <row r="24" ht="15.75" customHeight="1">
      <c r="A24" s="7">
        <v>22.0</v>
      </c>
      <c r="B24" s="8">
        <v>9.08421025E8</v>
      </c>
      <c r="C24" s="20" t="s">
        <v>112</v>
      </c>
      <c r="D24" s="10">
        <v>2.767824E7</v>
      </c>
      <c r="E24" s="7">
        <v>1.0</v>
      </c>
      <c r="F24" s="11">
        <v>1.0</v>
      </c>
      <c r="G24" s="12">
        <f t="shared" si="1"/>
        <v>0</v>
      </c>
      <c r="H24" s="13">
        <v>45903.0</v>
      </c>
      <c r="I24" s="14" t="s">
        <v>517</v>
      </c>
      <c r="J24" s="13">
        <v>45903.0</v>
      </c>
      <c r="K24" s="7" t="s">
        <v>435</v>
      </c>
      <c r="L24" s="9"/>
    </row>
    <row r="25" ht="15.75" customHeight="1">
      <c r="A25" s="7">
        <v>23.0</v>
      </c>
      <c r="B25" s="8">
        <v>9.08402208E8</v>
      </c>
      <c r="C25" s="20" t="s">
        <v>111</v>
      </c>
      <c r="D25" s="10">
        <v>2.767824E7</v>
      </c>
      <c r="E25" s="7">
        <v>5.0</v>
      </c>
      <c r="F25" s="11">
        <v>5.0</v>
      </c>
      <c r="G25" s="12">
        <f t="shared" si="1"/>
        <v>0</v>
      </c>
      <c r="H25" s="13">
        <v>45903.0</v>
      </c>
      <c r="I25" s="14" t="s">
        <v>517</v>
      </c>
      <c r="J25" s="13">
        <v>45903.0</v>
      </c>
      <c r="K25" s="7" t="s">
        <v>435</v>
      </c>
      <c r="L25" s="9"/>
    </row>
    <row r="26" ht="15.75" customHeight="1">
      <c r="A26" s="7">
        <v>24.0</v>
      </c>
      <c r="B26" s="8">
        <v>9.08111101E8</v>
      </c>
      <c r="C26" s="20" t="s">
        <v>24</v>
      </c>
      <c r="D26" s="10">
        <v>2.767824E7</v>
      </c>
      <c r="E26" s="7">
        <v>4.0</v>
      </c>
      <c r="F26" s="11">
        <v>4.0</v>
      </c>
      <c r="G26" s="12">
        <f t="shared" si="1"/>
        <v>0</v>
      </c>
      <c r="H26" s="13">
        <v>45903.0</v>
      </c>
      <c r="I26" s="14" t="s">
        <v>517</v>
      </c>
      <c r="J26" s="13">
        <v>45903.0</v>
      </c>
      <c r="K26" s="7" t="s">
        <v>435</v>
      </c>
      <c r="L26" s="9"/>
    </row>
    <row r="27" ht="15.75" customHeight="1">
      <c r="A27" s="7">
        <v>25.0</v>
      </c>
      <c r="B27" s="8">
        <v>9.08371012E8</v>
      </c>
      <c r="C27" s="9" t="s">
        <v>150</v>
      </c>
      <c r="D27" s="10">
        <v>2.767824E7</v>
      </c>
      <c r="E27" s="7">
        <v>5.0</v>
      </c>
      <c r="F27" s="11">
        <v>5.0</v>
      </c>
      <c r="G27" s="12">
        <f t="shared" si="1"/>
        <v>0</v>
      </c>
      <c r="H27" s="13">
        <v>45903.0</v>
      </c>
      <c r="I27" s="14" t="s">
        <v>517</v>
      </c>
      <c r="J27" s="13">
        <v>45903.0</v>
      </c>
      <c r="K27" s="7" t="s">
        <v>435</v>
      </c>
      <c r="L27" s="9"/>
    </row>
    <row r="28" ht="15.75" customHeight="1">
      <c r="A28" s="7">
        <v>26.0</v>
      </c>
      <c r="B28" s="8">
        <v>9.08421003E8</v>
      </c>
      <c r="C28" s="9" t="s">
        <v>386</v>
      </c>
      <c r="D28" s="10">
        <v>2.767824E7</v>
      </c>
      <c r="E28" s="7"/>
      <c r="F28" s="11"/>
      <c r="G28" s="12"/>
      <c r="H28" s="13"/>
      <c r="I28" s="14"/>
      <c r="J28" s="13">
        <v>45903.0</v>
      </c>
      <c r="K28" s="7" t="s">
        <v>435</v>
      </c>
      <c r="L28" s="9"/>
    </row>
    <row r="29" ht="15.75" customHeight="1">
      <c r="A29" s="7">
        <v>27.0</v>
      </c>
      <c r="B29" s="8">
        <v>9.08122003E8</v>
      </c>
      <c r="C29" s="9" t="s">
        <v>368</v>
      </c>
      <c r="D29" s="10">
        <v>2.767824E7</v>
      </c>
      <c r="E29" s="7">
        <v>16.0</v>
      </c>
      <c r="F29" s="11">
        <v>16.0</v>
      </c>
      <c r="G29" s="12">
        <f t="shared" ref="G29:G33" si="2">E29-F29</f>
        <v>0</v>
      </c>
      <c r="H29" s="13">
        <v>45903.0</v>
      </c>
      <c r="I29" s="14" t="s">
        <v>517</v>
      </c>
      <c r="J29" s="13">
        <v>45903.0</v>
      </c>
      <c r="K29" s="7" t="s">
        <v>435</v>
      </c>
      <c r="L29" s="9"/>
    </row>
    <row r="30" ht="15.75" customHeight="1">
      <c r="A30" s="7">
        <v>28.0</v>
      </c>
      <c r="B30" s="8">
        <v>9.0820203E8</v>
      </c>
      <c r="C30" s="9" t="s">
        <v>19</v>
      </c>
      <c r="D30" s="10">
        <v>2.767824E7</v>
      </c>
      <c r="E30" s="7">
        <v>29.0</v>
      </c>
      <c r="F30" s="11">
        <v>5.0</v>
      </c>
      <c r="G30" s="12">
        <f t="shared" si="2"/>
        <v>24</v>
      </c>
      <c r="H30" s="13">
        <v>45903.0</v>
      </c>
      <c r="I30" s="14" t="s">
        <v>517</v>
      </c>
      <c r="J30" s="13">
        <v>45903.0</v>
      </c>
      <c r="K30" s="7" t="s">
        <v>435</v>
      </c>
      <c r="L30" s="9"/>
    </row>
    <row r="31" ht="15.75" customHeight="1">
      <c r="A31" s="7">
        <v>29.0</v>
      </c>
      <c r="B31" s="8">
        <v>9.0812201E8</v>
      </c>
      <c r="C31" s="9" t="s">
        <v>80</v>
      </c>
      <c r="D31" s="10">
        <v>2.767824E7</v>
      </c>
      <c r="E31" s="7">
        <v>16.0</v>
      </c>
      <c r="F31" s="11">
        <v>12.0</v>
      </c>
      <c r="G31" s="12">
        <f t="shared" si="2"/>
        <v>4</v>
      </c>
      <c r="H31" s="13">
        <v>45903.0</v>
      </c>
      <c r="I31" s="14" t="s">
        <v>517</v>
      </c>
      <c r="J31" s="13">
        <v>45903.0</v>
      </c>
      <c r="K31" s="7" t="s">
        <v>435</v>
      </c>
      <c r="L31" s="9"/>
    </row>
    <row r="32" ht="15.75" customHeight="1">
      <c r="A32" s="7">
        <v>30.0</v>
      </c>
      <c r="B32" s="8">
        <v>9.08202098E8</v>
      </c>
      <c r="C32" s="9" t="s">
        <v>22</v>
      </c>
      <c r="D32" s="10">
        <v>2.767824E7</v>
      </c>
      <c r="E32" s="7">
        <v>5.0</v>
      </c>
      <c r="F32" s="11">
        <v>2.0</v>
      </c>
      <c r="G32" s="12">
        <f t="shared" si="2"/>
        <v>3</v>
      </c>
      <c r="H32" s="13">
        <v>45903.0</v>
      </c>
      <c r="I32" s="14" t="s">
        <v>517</v>
      </c>
      <c r="J32" s="13">
        <v>45903.0</v>
      </c>
      <c r="K32" s="7" t="s">
        <v>435</v>
      </c>
      <c r="L32" s="9"/>
    </row>
    <row r="33" ht="15.75" customHeight="1">
      <c r="A33" s="7">
        <v>31.0</v>
      </c>
      <c r="B33" s="19" t="s">
        <v>20</v>
      </c>
      <c r="C33" s="20" t="s">
        <v>21</v>
      </c>
      <c r="D33" s="10">
        <v>2.767824E7</v>
      </c>
      <c r="E33" s="7">
        <v>2.0</v>
      </c>
      <c r="F33" s="11">
        <v>2.0</v>
      </c>
      <c r="G33" s="12">
        <f t="shared" si="2"/>
        <v>0</v>
      </c>
      <c r="H33" s="13">
        <v>45903.0</v>
      </c>
      <c r="I33" s="14" t="s">
        <v>517</v>
      </c>
      <c r="J33" s="13">
        <v>45903.0</v>
      </c>
      <c r="K33" s="7" t="s">
        <v>435</v>
      </c>
      <c r="L33" s="9"/>
    </row>
    <row r="34" ht="15.75" customHeight="1">
      <c r="B34" s="119"/>
      <c r="C34" s="9"/>
    </row>
    <row r="35" ht="15.75" customHeight="1">
      <c r="A35" s="4" t="s">
        <v>1</v>
      </c>
      <c r="B35" s="5" t="s">
        <v>2</v>
      </c>
      <c r="C35" s="4" t="s">
        <v>520</v>
      </c>
      <c r="D35" s="4" t="s">
        <v>5</v>
      </c>
      <c r="E35" s="94" t="s">
        <v>8</v>
      </c>
    </row>
    <row r="36" ht="15.75" customHeight="1">
      <c r="A36" s="7">
        <v>1.0</v>
      </c>
      <c r="B36" s="8">
        <v>9.08114004E8</v>
      </c>
      <c r="C36" s="9" t="s">
        <v>69</v>
      </c>
      <c r="D36" s="10">
        <v>7.5</v>
      </c>
      <c r="E36" s="120">
        <v>45876.0</v>
      </c>
    </row>
    <row r="37" ht="15.75" customHeight="1">
      <c r="A37" s="7">
        <v>2.0</v>
      </c>
      <c r="B37" s="8">
        <v>9.08114004E8</v>
      </c>
      <c r="C37" s="9" t="s">
        <v>69</v>
      </c>
      <c r="D37" s="8">
        <f>5.8+4.3+1.1+2.2+2.2+1.5</f>
        <v>17.1</v>
      </c>
      <c r="E37" s="96">
        <v>45901.0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521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2.7379522E7</v>
      </c>
      <c r="E3" s="7">
        <v>1.0</v>
      </c>
      <c r="F3" s="11">
        <v>1.0</v>
      </c>
      <c r="G3" s="12">
        <f t="shared" ref="G3:G13" si="1">E3-F3</f>
        <v>0</v>
      </c>
      <c r="H3" s="13">
        <v>45844.0</v>
      </c>
      <c r="I3" s="14" t="s">
        <v>14</v>
      </c>
      <c r="J3" s="13">
        <v>45850.0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25</v>
      </c>
      <c r="C4" s="9" t="s">
        <v>26</v>
      </c>
      <c r="D4" s="10">
        <v>2.7379522E7</v>
      </c>
      <c r="E4" s="7">
        <v>39.0</v>
      </c>
      <c r="F4" s="11">
        <v>40.0</v>
      </c>
      <c r="G4" s="12">
        <f t="shared" si="1"/>
        <v>-1</v>
      </c>
      <c r="H4" s="13">
        <v>45844.0</v>
      </c>
      <c r="I4" s="14" t="s">
        <v>14</v>
      </c>
      <c r="J4" s="13">
        <v>45847.0</v>
      </c>
      <c r="K4" s="7" t="s">
        <v>283</v>
      </c>
      <c r="L4" s="9"/>
    </row>
    <row r="5">
      <c r="A5" s="7">
        <v>3.0</v>
      </c>
      <c r="B5" s="8">
        <v>9.08421025E8</v>
      </c>
      <c r="C5" s="20" t="s">
        <v>112</v>
      </c>
      <c r="D5" s="10">
        <v>2.7438114E7</v>
      </c>
      <c r="E5" s="16">
        <v>1.0</v>
      </c>
      <c r="F5" s="11">
        <v>1.0</v>
      </c>
      <c r="G5" s="12">
        <f t="shared" si="1"/>
        <v>0</v>
      </c>
      <c r="H5" s="13">
        <v>45855.0</v>
      </c>
      <c r="I5" s="14" t="s">
        <v>14</v>
      </c>
      <c r="J5" s="13">
        <v>45857.0</v>
      </c>
      <c r="K5" s="7" t="s">
        <v>283</v>
      </c>
      <c r="L5" s="9"/>
    </row>
    <row r="6">
      <c r="A6" s="7">
        <v>4.0</v>
      </c>
      <c r="B6" s="8">
        <v>9.08402208E8</v>
      </c>
      <c r="C6" s="20" t="s">
        <v>111</v>
      </c>
      <c r="D6" s="10">
        <v>2.7438114E7</v>
      </c>
      <c r="E6" s="16">
        <v>1.0</v>
      </c>
      <c r="F6" s="11">
        <v>1.0</v>
      </c>
      <c r="G6" s="12">
        <f t="shared" si="1"/>
        <v>0</v>
      </c>
      <c r="H6" s="13">
        <v>45855.0</v>
      </c>
      <c r="I6" s="14" t="s">
        <v>14</v>
      </c>
      <c r="J6" s="13">
        <v>45857.0</v>
      </c>
      <c r="K6" s="7" t="s">
        <v>283</v>
      </c>
      <c r="L6" s="9"/>
    </row>
    <row r="7">
      <c r="A7" s="7">
        <v>5.0</v>
      </c>
      <c r="B7" s="8">
        <v>9.08371003E8</v>
      </c>
      <c r="C7" s="20" t="s">
        <v>81</v>
      </c>
      <c r="D7" s="10">
        <v>2.7438114E7</v>
      </c>
      <c r="E7" s="16">
        <v>1.0</v>
      </c>
      <c r="F7" s="11">
        <v>1.0</v>
      </c>
      <c r="G7" s="12">
        <f t="shared" si="1"/>
        <v>0</v>
      </c>
      <c r="H7" s="13">
        <v>45855.0</v>
      </c>
      <c r="I7" s="14" t="s">
        <v>14</v>
      </c>
      <c r="J7" s="13">
        <v>45857.0</v>
      </c>
      <c r="K7" s="7" t="s">
        <v>283</v>
      </c>
      <c r="L7" s="17"/>
    </row>
    <row r="8">
      <c r="A8" s="7">
        <v>6.0</v>
      </c>
      <c r="B8" s="8">
        <v>9.08111101E8</v>
      </c>
      <c r="C8" s="20" t="s">
        <v>24</v>
      </c>
      <c r="D8" s="10">
        <v>2.7438114E7</v>
      </c>
      <c r="E8" s="16">
        <v>3.0</v>
      </c>
      <c r="F8" s="11">
        <v>2.0</v>
      </c>
      <c r="G8" s="12">
        <f t="shared" si="1"/>
        <v>1</v>
      </c>
      <c r="H8" s="13">
        <v>45855.0</v>
      </c>
      <c r="I8" s="14" t="s">
        <v>14</v>
      </c>
      <c r="J8" s="13">
        <v>45857.0</v>
      </c>
      <c r="K8" s="7" t="s">
        <v>283</v>
      </c>
      <c r="L8" s="17"/>
    </row>
    <row r="9">
      <c r="A9" s="7">
        <v>7.0</v>
      </c>
      <c r="B9" s="8">
        <v>9.0812201E8</v>
      </c>
      <c r="C9" s="20" t="s">
        <v>80</v>
      </c>
      <c r="D9" s="10">
        <v>2.7438114E7</v>
      </c>
      <c r="E9" s="16">
        <v>4.0</v>
      </c>
      <c r="F9" s="11">
        <v>4.0</v>
      </c>
      <c r="G9" s="12">
        <f t="shared" si="1"/>
        <v>0</v>
      </c>
      <c r="H9" s="13">
        <v>45855.0</v>
      </c>
      <c r="I9" s="14" t="s">
        <v>14</v>
      </c>
      <c r="J9" s="13">
        <v>45857.0</v>
      </c>
      <c r="K9" s="7" t="s">
        <v>283</v>
      </c>
      <c r="L9" s="17"/>
    </row>
    <row r="10">
      <c r="A10" s="7">
        <v>8.0</v>
      </c>
      <c r="B10" s="8">
        <v>9.08202189E8</v>
      </c>
      <c r="C10" s="20" t="s">
        <v>55</v>
      </c>
      <c r="D10" s="10">
        <v>2.7438114E7</v>
      </c>
      <c r="E10" s="16">
        <v>1.0</v>
      </c>
      <c r="F10" s="11">
        <v>6.0</v>
      </c>
      <c r="G10" s="12">
        <f t="shared" si="1"/>
        <v>-5</v>
      </c>
      <c r="H10" s="13">
        <v>45855.0</v>
      </c>
      <c r="I10" s="14" t="s">
        <v>14</v>
      </c>
      <c r="J10" s="13">
        <v>45857.0</v>
      </c>
      <c r="K10" s="7" t="s">
        <v>283</v>
      </c>
      <c r="L10" s="17"/>
    </row>
    <row r="11">
      <c r="A11" s="7">
        <v>9.0</v>
      </c>
      <c r="B11" s="19" t="s">
        <v>20</v>
      </c>
      <c r="C11" s="20" t="s">
        <v>21</v>
      </c>
      <c r="D11" s="10">
        <v>2.7438114E7</v>
      </c>
      <c r="E11" s="16">
        <v>1.0</v>
      </c>
      <c r="F11" s="11">
        <v>1.0</v>
      </c>
      <c r="G11" s="12">
        <f t="shared" si="1"/>
        <v>0</v>
      </c>
      <c r="H11" s="13">
        <v>45855.0</v>
      </c>
      <c r="I11" s="14" t="s">
        <v>14</v>
      </c>
      <c r="J11" s="13">
        <v>45857.0</v>
      </c>
      <c r="K11" s="7" t="s">
        <v>283</v>
      </c>
      <c r="L11" s="17"/>
    </row>
    <row r="12">
      <c r="A12" s="7">
        <v>10.0</v>
      </c>
      <c r="B12" s="8">
        <v>9.08020201E8</v>
      </c>
      <c r="C12" s="9" t="s">
        <v>13</v>
      </c>
      <c r="D12" s="10">
        <v>2.7438114E7</v>
      </c>
      <c r="E12" s="16">
        <v>1.0</v>
      </c>
      <c r="F12" s="11"/>
      <c r="G12" s="12">
        <f t="shared" si="1"/>
        <v>1</v>
      </c>
      <c r="H12" s="13">
        <v>45855.0</v>
      </c>
      <c r="I12" s="14" t="s">
        <v>14</v>
      </c>
      <c r="J12" s="17"/>
      <c r="K12" s="17"/>
      <c r="L12" s="17"/>
    </row>
    <row r="13">
      <c r="A13" s="17"/>
      <c r="B13" s="8">
        <v>9.0820203E8</v>
      </c>
      <c r="C13" s="20" t="s">
        <v>19</v>
      </c>
      <c r="D13" s="10">
        <v>2.7438114E7</v>
      </c>
      <c r="E13" s="16">
        <v>5.0</v>
      </c>
      <c r="F13" s="11"/>
      <c r="G13" s="121">
        <f t="shared" si="1"/>
        <v>5</v>
      </c>
      <c r="H13" s="109">
        <v>45865.0</v>
      </c>
      <c r="I13" s="19" t="s">
        <v>14</v>
      </c>
      <c r="J13" s="17"/>
      <c r="K13" s="17"/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522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2.7331665E7</v>
      </c>
      <c r="E3" s="7">
        <v>2.0</v>
      </c>
      <c r="F3" s="11">
        <v>2.0</v>
      </c>
      <c r="G3" s="12">
        <f t="shared" ref="G3:G24" si="1">E3-F3</f>
        <v>0</v>
      </c>
      <c r="H3" s="13">
        <v>45840.0</v>
      </c>
      <c r="I3" s="14" t="s">
        <v>517</v>
      </c>
      <c r="J3" s="13">
        <v>45868.0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2.7331665E7</v>
      </c>
      <c r="E4" s="7">
        <v>2.0</v>
      </c>
      <c r="F4" s="11">
        <v>2.0</v>
      </c>
      <c r="G4" s="12">
        <f t="shared" si="1"/>
        <v>0</v>
      </c>
      <c r="H4" s="13">
        <v>45840.0</v>
      </c>
      <c r="I4" s="14" t="s">
        <v>517</v>
      </c>
      <c r="J4" s="13">
        <v>45868.0</v>
      </c>
      <c r="K4" s="7" t="s">
        <v>283</v>
      </c>
      <c r="L4" s="9"/>
    </row>
    <row r="5">
      <c r="A5" s="7">
        <v>3.0</v>
      </c>
      <c r="B5" s="19" t="s">
        <v>103</v>
      </c>
      <c r="C5" s="20" t="s">
        <v>104</v>
      </c>
      <c r="D5" s="10">
        <v>2.7331665E7</v>
      </c>
      <c r="E5" s="7">
        <v>1.0</v>
      </c>
      <c r="F5" s="11">
        <v>1.0</v>
      </c>
      <c r="G5" s="12">
        <f t="shared" si="1"/>
        <v>0</v>
      </c>
      <c r="H5" s="13">
        <v>45844.0</v>
      </c>
      <c r="I5" s="14" t="s">
        <v>517</v>
      </c>
      <c r="J5" s="13">
        <v>45868.0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10">
        <v>2.7331665E7</v>
      </c>
      <c r="E6" s="7">
        <v>2.0</v>
      </c>
      <c r="F6" s="11">
        <v>2.0</v>
      </c>
      <c r="G6" s="12">
        <f t="shared" si="1"/>
        <v>0</v>
      </c>
      <c r="H6" s="13">
        <v>45844.0</v>
      </c>
      <c r="I6" s="14" t="s">
        <v>517</v>
      </c>
      <c r="J6" s="13">
        <v>45868.0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10">
        <v>2.7331665E7</v>
      </c>
      <c r="E7" s="7">
        <v>2.0</v>
      </c>
      <c r="F7" s="11">
        <v>2.0</v>
      </c>
      <c r="G7" s="12">
        <f t="shared" si="1"/>
        <v>0</v>
      </c>
      <c r="H7" s="13">
        <v>45840.0</v>
      </c>
      <c r="I7" s="14" t="s">
        <v>517</v>
      </c>
      <c r="J7" s="13">
        <v>45868.0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10">
        <v>2.7331665E7</v>
      </c>
      <c r="E8" s="7">
        <v>2.0</v>
      </c>
      <c r="F8" s="11">
        <f>1+1</f>
        <v>2</v>
      </c>
      <c r="G8" s="12">
        <f t="shared" si="1"/>
        <v>0</v>
      </c>
      <c r="H8" s="13">
        <v>45840.0</v>
      </c>
      <c r="I8" s="14" t="s">
        <v>517</v>
      </c>
      <c r="J8" s="13" t="s">
        <v>523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10">
        <v>2.7331665E7</v>
      </c>
      <c r="E9" s="7"/>
      <c r="F9" s="11"/>
      <c r="G9" s="12">
        <f t="shared" si="1"/>
        <v>0</v>
      </c>
      <c r="H9" s="13"/>
      <c r="I9" s="14"/>
      <c r="J9" s="13"/>
      <c r="K9" s="7"/>
      <c r="L9" s="9"/>
    </row>
    <row r="10">
      <c r="A10" s="7">
        <v>8.0</v>
      </c>
      <c r="B10" s="8" t="s">
        <v>25</v>
      </c>
      <c r="C10" s="9" t="s">
        <v>26</v>
      </c>
      <c r="D10" s="10">
        <v>2.7331665E7</v>
      </c>
      <c r="E10" s="7">
        <v>30.0</v>
      </c>
      <c r="F10" s="11">
        <v>6.0</v>
      </c>
      <c r="G10" s="12">
        <f t="shared" si="1"/>
        <v>24</v>
      </c>
      <c r="H10" s="13">
        <v>45844.0</v>
      </c>
      <c r="I10" s="14" t="s">
        <v>517</v>
      </c>
      <c r="J10" s="13">
        <v>45846.0</v>
      </c>
      <c r="K10" s="7" t="s">
        <v>283</v>
      </c>
      <c r="L10" s="9"/>
    </row>
    <row r="11">
      <c r="A11" s="7">
        <v>9.0</v>
      </c>
      <c r="B11" s="8" t="s">
        <v>27</v>
      </c>
      <c r="C11" s="9" t="s">
        <v>28</v>
      </c>
      <c r="D11" s="10">
        <v>2.7331665E7</v>
      </c>
      <c r="E11" s="7">
        <v>69.0</v>
      </c>
      <c r="F11" s="11">
        <v>95.0</v>
      </c>
      <c r="G11" s="12">
        <f t="shared" si="1"/>
        <v>-26</v>
      </c>
      <c r="H11" s="13">
        <v>45844.0</v>
      </c>
      <c r="I11" s="14" t="s">
        <v>517</v>
      </c>
      <c r="J11" s="13">
        <v>45846.0</v>
      </c>
      <c r="K11" s="7" t="s">
        <v>283</v>
      </c>
      <c r="L11" s="9"/>
    </row>
    <row r="12">
      <c r="A12" s="7">
        <v>10.0</v>
      </c>
      <c r="B12" s="8">
        <v>9.08111101E8</v>
      </c>
      <c r="C12" s="9" t="s">
        <v>24</v>
      </c>
      <c r="D12" s="10">
        <v>2.7331665E7</v>
      </c>
      <c r="E12" s="7">
        <v>6.0</v>
      </c>
      <c r="F12" s="11">
        <v>6.0</v>
      </c>
      <c r="G12" s="12">
        <f t="shared" si="1"/>
        <v>0</v>
      </c>
      <c r="H12" s="13">
        <v>45844.0</v>
      </c>
      <c r="I12" s="14" t="s">
        <v>517</v>
      </c>
      <c r="J12" s="13">
        <v>45868.0</v>
      </c>
      <c r="K12" s="7" t="s">
        <v>283</v>
      </c>
      <c r="L12" s="9"/>
    </row>
    <row r="13">
      <c r="A13" s="7">
        <v>11.0</v>
      </c>
      <c r="B13" s="8">
        <v>9.08122011E8</v>
      </c>
      <c r="C13" s="9" t="s">
        <v>417</v>
      </c>
      <c r="D13" s="10">
        <v>2.7331665E7</v>
      </c>
      <c r="E13" s="7">
        <v>3.0</v>
      </c>
      <c r="F13" s="11">
        <v>3.0</v>
      </c>
      <c r="G13" s="12">
        <f t="shared" si="1"/>
        <v>0</v>
      </c>
      <c r="H13" s="13">
        <v>45840.0</v>
      </c>
      <c r="I13" s="14" t="s">
        <v>517</v>
      </c>
      <c r="J13" s="13">
        <v>45851.0</v>
      </c>
      <c r="K13" s="7" t="s">
        <v>283</v>
      </c>
      <c r="L13" s="9"/>
    </row>
    <row r="14">
      <c r="A14" s="7">
        <v>12.0</v>
      </c>
      <c r="B14" s="8">
        <v>9.08421025E8</v>
      </c>
      <c r="C14" s="9" t="s">
        <v>112</v>
      </c>
      <c r="D14" s="10">
        <v>2.772763E7</v>
      </c>
      <c r="E14" s="7">
        <v>1.0</v>
      </c>
      <c r="F14" s="11">
        <v>1.0</v>
      </c>
      <c r="G14" s="12">
        <f t="shared" si="1"/>
        <v>0</v>
      </c>
      <c r="H14" s="13">
        <v>45911.0</v>
      </c>
      <c r="I14" s="14" t="s">
        <v>517</v>
      </c>
      <c r="J14" s="13">
        <v>45914.0</v>
      </c>
      <c r="K14" s="7" t="s">
        <v>283</v>
      </c>
      <c r="L14" s="9"/>
    </row>
    <row r="15">
      <c r="A15" s="7">
        <v>13.0</v>
      </c>
      <c r="B15" s="8">
        <v>9.08402208E8</v>
      </c>
      <c r="C15" s="9" t="s">
        <v>111</v>
      </c>
      <c r="D15" s="10">
        <v>2.772763E7</v>
      </c>
      <c r="E15" s="7">
        <v>3.0</v>
      </c>
      <c r="F15" s="11">
        <v>3.0</v>
      </c>
      <c r="G15" s="12">
        <f t="shared" si="1"/>
        <v>0</v>
      </c>
      <c r="H15" s="13">
        <v>45911.0</v>
      </c>
      <c r="I15" s="14" t="s">
        <v>517</v>
      </c>
      <c r="J15" s="13">
        <v>45914.0</v>
      </c>
      <c r="K15" s="7" t="s">
        <v>283</v>
      </c>
      <c r="L15" s="9"/>
    </row>
    <row r="16">
      <c r="A16" s="7">
        <v>14.0</v>
      </c>
      <c r="B16" s="8">
        <v>9.08371012E8</v>
      </c>
      <c r="C16" s="9" t="s">
        <v>150</v>
      </c>
      <c r="D16" s="10">
        <v>2.772763E7</v>
      </c>
      <c r="E16" s="7">
        <v>3.0</v>
      </c>
      <c r="F16" s="11">
        <v>3.0</v>
      </c>
      <c r="G16" s="12">
        <f t="shared" si="1"/>
        <v>0</v>
      </c>
      <c r="H16" s="13">
        <v>45911.0</v>
      </c>
      <c r="I16" s="14" t="s">
        <v>517</v>
      </c>
      <c r="J16" s="13">
        <v>45914.0</v>
      </c>
      <c r="K16" s="7" t="s">
        <v>283</v>
      </c>
      <c r="L16" s="9"/>
    </row>
    <row r="17">
      <c r="A17" s="7">
        <v>15.0</v>
      </c>
      <c r="B17" s="8">
        <v>9.08111101E8</v>
      </c>
      <c r="C17" s="9" t="s">
        <v>24</v>
      </c>
      <c r="D17" s="10"/>
      <c r="E17" s="7"/>
      <c r="F17" s="11">
        <v>4.0</v>
      </c>
      <c r="G17" s="12">
        <f t="shared" si="1"/>
        <v>-4</v>
      </c>
      <c r="H17" s="13"/>
      <c r="I17" s="14"/>
      <c r="J17" s="13">
        <v>45914.0</v>
      </c>
      <c r="K17" s="7" t="s">
        <v>283</v>
      </c>
      <c r="L17" s="9"/>
    </row>
    <row r="18">
      <c r="A18" s="7">
        <v>16.0</v>
      </c>
      <c r="B18" s="8">
        <v>9.0812201E8</v>
      </c>
      <c r="C18" s="9" t="s">
        <v>80</v>
      </c>
      <c r="D18" s="10">
        <v>2.772763E7</v>
      </c>
      <c r="E18" s="7">
        <v>8.0</v>
      </c>
      <c r="F18" s="11"/>
      <c r="G18" s="12">
        <f t="shared" si="1"/>
        <v>8</v>
      </c>
      <c r="H18" s="13">
        <v>45911.0</v>
      </c>
      <c r="I18" s="14" t="s">
        <v>517</v>
      </c>
      <c r="J18" s="13"/>
      <c r="K18" s="7"/>
      <c r="L18" s="9"/>
    </row>
    <row r="19">
      <c r="A19" s="7">
        <v>17.0</v>
      </c>
      <c r="B19" s="8">
        <v>9.08202189E8</v>
      </c>
      <c r="C19" s="9" t="s">
        <v>55</v>
      </c>
      <c r="D19" s="10">
        <v>2.772763E7</v>
      </c>
      <c r="E19" s="7">
        <v>2.0</v>
      </c>
      <c r="F19" s="11">
        <v>2.0</v>
      </c>
      <c r="G19" s="12">
        <f t="shared" si="1"/>
        <v>0</v>
      </c>
      <c r="H19" s="13">
        <v>45911.0</v>
      </c>
      <c r="I19" s="14" t="s">
        <v>517</v>
      </c>
      <c r="J19" s="13">
        <v>45914.0</v>
      </c>
      <c r="K19" s="7" t="s">
        <v>283</v>
      </c>
      <c r="L19" s="9"/>
    </row>
    <row r="20">
      <c r="A20" s="7">
        <v>18.0</v>
      </c>
      <c r="B20" s="8" t="s">
        <v>20</v>
      </c>
      <c r="C20" s="9" t="s">
        <v>21</v>
      </c>
      <c r="D20" s="10">
        <v>2.772763E7</v>
      </c>
      <c r="E20" s="7">
        <v>2.0</v>
      </c>
      <c r="F20" s="11">
        <v>2.0</v>
      </c>
      <c r="G20" s="12">
        <f t="shared" si="1"/>
        <v>0</v>
      </c>
      <c r="H20" s="13">
        <v>45911.0</v>
      </c>
      <c r="I20" s="14" t="s">
        <v>517</v>
      </c>
      <c r="J20" s="13">
        <v>45914.0</v>
      </c>
      <c r="K20" s="7" t="s">
        <v>283</v>
      </c>
      <c r="L20" s="9"/>
    </row>
    <row r="21" ht="15.75" customHeight="1">
      <c r="A21" s="7">
        <v>19.0</v>
      </c>
      <c r="B21" s="8">
        <v>9.08020201E8</v>
      </c>
      <c r="C21" s="9" t="s">
        <v>13</v>
      </c>
      <c r="D21" s="10">
        <v>2.772763E7</v>
      </c>
      <c r="E21" s="7">
        <v>2.0</v>
      </c>
      <c r="F21" s="11"/>
      <c r="G21" s="12">
        <f t="shared" si="1"/>
        <v>2</v>
      </c>
      <c r="H21" s="13">
        <v>45911.0</v>
      </c>
      <c r="I21" s="14" t="s">
        <v>517</v>
      </c>
      <c r="J21" s="13"/>
      <c r="K21" s="7"/>
      <c r="L21" s="9"/>
    </row>
    <row r="22" ht="15.75" customHeight="1">
      <c r="A22" s="7">
        <v>20.0</v>
      </c>
      <c r="B22" s="8">
        <v>9.0820203E8</v>
      </c>
      <c r="C22" s="9" t="s">
        <v>19</v>
      </c>
      <c r="D22" s="10">
        <v>2.772763E7</v>
      </c>
      <c r="E22" s="7">
        <v>15.0</v>
      </c>
      <c r="F22" s="11"/>
      <c r="G22" s="12">
        <f t="shared" si="1"/>
        <v>15</v>
      </c>
      <c r="H22" s="13">
        <v>45911.0</v>
      </c>
      <c r="I22" s="14" t="s">
        <v>517</v>
      </c>
      <c r="J22" s="13"/>
      <c r="K22" s="7"/>
      <c r="L22" s="9"/>
    </row>
    <row r="23" ht="15.75" customHeight="1">
      <c r="A23" s="7">
        <v>21.0</v>
      </c>
      <c r="B23" s="8">
        <v>9.08122003E8</v>
      </c>
      <c r="C23" s="9" t="s">
        <v>368</v>
      </c>
      <c r="D23" s="10">
        <v>2.772763E7</v>
      </c>
      <c r="E23" s="7">
        <v>8.0</v>
      </c>
      <c r="F23" s="11"/>
      <c r="G23" s="12">
        <f t="shared" si="1"/>
        <v>8</v>
      </c>
      <c r="H23" s="13">
        <v>45911.0</v>
      </c>
      <c r="I23" s="14" t="s">
        <v>517</v>
      </c>
      <c r="J23" s="13"/>
      <c r="K23" s="7"/>
      <c r="L23" s="9"/>
    </row>
    <row r="24" ht="15.75" customHeight="1">
      <c r="A24" s="7"/>
      <c r="B24" s="8">
        <v>9.08421031E8</v>
      </c>
      <c r="C24" s="20" t="s">
        <v>122</v>
      </c>
      <c r="D24" s="10">
        <v>2.772763E7</v>
      </c>
      <c r="E24" s="7">
        <v>1.0</v>
      </c>
      <c r="F24" s="11">
        <v>1.0</v>
      </c>
      <c r="G24" s="12">
        <f t="shared" si="1"/>
        <v>0</v>
      </c>
      <c r="H24" s="13">
        <v>45911.0</v>
      </c>
      <c r="I24" s="14" t="s">
        <v>517</v>
      </c>
      <c r="J24" s="13">
        <v>45914.0</v>
      </c>
      <c r="K24" s="7" t="s">
        <v>283</v>
      </c>
      <c r="L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3.0</v>
      </c>
      <c r="B3" s="8">
        <v>9.08402207E8</v>
      </c>
      <c r="C3" s="9" t="s">
        <v>377</v>
      </c>
      <c r="D3" s="10">
        <v>2.7328725E7</v>
      </c>
      <c r="E3" s="7">
        <v>2.0</v>
      </c>
      <c r="F3" s="11">
        <v>2.0</v>
      </c>
      <c r="G3" s="12">
        <f t="shared" ref="G3:G4" si="1">E3-F3</f>
        <v>0</v>
      </c>
      <c r="H3" s="13">
        <v>45837.0</v>
      </c>
      <c r="I3" s="14" t="s">
        <v>517</v>
      </c>
      <c r="J3" s="13">
        <v>45843.0</v>
      </c>
      <c r="K3" s="7" t="s">
        <v>283</v>
      </c>
      <c r="L3" s="9"/>
    </row>
    <row r="4">
      <c r="A4" s="7">
        <v>16.0</v>
      </c>
      <c r="B4" s="8">
        <v>9.08370504E8</v>
      </c>
      <c r="C4" s="9" t="s">
        <v>525</v>
      </c>
      <c r="D4" s="10">
        <v>2.7328725E7</v>
      </c>
      <c r="E4" s="7">
        <v>2.0</v>
      </c>
      <c r="F4" s="11">
        <v>2.0</v>
      </c>
      <c r="G4" s="12">
        <f t="shared" si="1"/>
        <v>0</v>
      </c>
      <c r="H4" s="13">
        <v>45837.0</v>
      </c>
      <c r="I4" s="14" t="s">
        <v>517</v>
      </c>
      <c r="J4" s="13">
        <v>45843.0</v>
      </c>
      <c r="K4" s="7" t="s">
        <v>283</v>
      </c>
      <c r="L4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2.7327912E7</v>
      </c>
      <c r="E3" s="7">
        <v>2.0</v>
      </c>
      <c r="F3" s="11">
        <v>2.0</v>
      </c>
      <c r="G3" s="12">
        <f t="shared" ref="G3:G27" si="1">E3-F3</f>
        <v>0</v>
      </c>
      <c r="H3" s="13">
        <v>45840.0</v>
      </c>
      <c r="I3" s="14" t="s">
        <v>517</v>
      </c>
      <c r="J3" s="13">
        <v>45860.0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2.7327912E7</v>
      </c>
      <c r="E4" s="7">
        <v>2.0</v>
      </c>
      <c r="F4" s="11">
        <v>2.0</v>
      </c>
      <c r="G4" s="12">
        <f t="shared" si="1"/>
        <v>0</v>
      </c>
      <c r="H4" s="13">
        <v>45840.0</v>
      </c>
      <c r="I4" s="14" t="s">
        <v>517</v>
      </c>
      <c r="J4" s="13">
        <v>45860.0</v>
      </c>
      <c r="K4" s="7" t="s">
        <v>283</v>
      </c>
      <c r="L4" s="9"/>
    </row>
    <row r="5">
      <c r="A5" s="7">
        <v>3.0</v>
      </c>
      <c r="B5" s="19" t="s">
        <v>103</v>
      </c>
      <c r="C5" s="20" t="s">
        <v>104</v>
      </c>
      <c r="D5" s="10">
        <v>2.7327912E7</v>
      </c>
      <c r="E5" s="7">
        <v>1.0</v>
      </c>
      <c r="F5" s="11">
        <v>1.0</v>
      </c>
      <c r="G5" s="12">
        <f t="shared" si="1"/>
        <v>0</v>
      </c>
      <c r="H5" s="13">
        <v>45840.0</v>
      </c>
      <c r="I5" s="14" t="s">
        <v>517</v>
      </c>
      <c r="J5" s="13">
        <v>45860.0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10">
        <v>2.7327912E7</v>
      </c>
      <c r="E6" s="7">
        <v>2.0</v>
      </c>
      <c r="F6" s="11">
        <v>2.0</v>
      </c>
      <c r="G6" s="12">
        <f t="shared" si="1"/>
        <v>0</v>
      </c>
      <c r="H6" s="13">
        <v>45844.0</v>
      </c>
      <c r="I6" s="14" t="s">
        <v>517</v>
      </c>
      <c r="J6" s="13">
        <v>45860.0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10">
        <v>2.7327912E7</v>
      </c>
      <c r="E7" s="7">
        <v>2.0</v>
      </c>
      <c r="F7" s="11">
        <v>2.0</v>
      </c>
      <c r="G7" s="12">
        <f t="shared" si="1"/>
        <v>0</v>
      </c>
      <c r="H7" s="13">
        <v>45840.0</v>
      </c>
      <c r="I7" s="14" t="s">
        <v>517</v>
      </c>
      <c r="J7" s="13">
        <v>45860.0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10">
        <v>2.7327912E7</v>
      </c>
      <c r="E8" s="7">
        <v>2.0</v>
      </c>
      <c r="F8" s="11">
        <f>1+1</f>
        <v>2</v>
      </c>
      <c r="G8" s="12">
        <f t="shared" si="1"/>
        <v>0</v>
      </c>
      <c r="H8" s="13">
        <v>45840.0</v>
      </c>
      <c r="I8" s="14" t="s">
        <v>517</v>
      </c>
      <c r="J8" s="13" t="s">
        <v>527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10">
        <v>2.7327912E7</v>
      </c>
      <c r="E9" s="7">
        <v>1.0</v>
      </c>
      <c r="F9" s="11"/>
      <c r="G9" s="12">
        <f t="shared" si="1"/>
        <v>1</v>
      </c>
      <c r="H9" s="13">
        <v>45840.0</v>
      </c>
      <c r="I9" s="14" t="s">
        <v>517</v>
      </c>
      <c r="J9" s="13"/>
      <c r="K9" s="7"/>
      <c r="L9" s="9"/>
    </row>
    <row r="10">
      <c r="A10" s="7">
        <v>8.0</v>
      </c>
      <c r="B10" s="8" t="s">
        <v>25</v>
      </c>
      <c r="C10" s="9" t="s">
        <v>26</v>
      </c>
      <c r="D10" s="10">
        <v>2.7327912E7</v>
      </c>
      <c r="E10" s="7">
        <v>43.0</v>
      </c>
      <c r="F10" s="11">
        <v>6.0</v>
      </c>
      <c r="G10" s="12">
        <f t="shared" si="1"/>
        <v>37</v>
      </c>
      <c r="H10" s="13">
        <v>45844.0</v>
      </c>
      <c r="I10" s="14" t="s">
        <v>517</v>
      </c>
      <c r="J10" s="13">
        <v>45843.0</v>
      </c>
      <c r="K10" s="7" t="s">
        <v>283</v>
      </c>
      <c r="L10" s="9"/>
    </row>
    <row r="11">
      <c r="A11" s="7">
        <v>9.0</v>
      </c>
      <c r="B11" s="8" t="s">
        <v>27</v>
      </c>
      <c r="C11" s="9" t="s">
        <v>28</v>
      </c>
      <c r="D11" s="10">
        <v>2.7327912E7</v>
      </c>
      <c r="E11" s="7">
        <v>35.0</v>
      </c>
      <c r="F11" s="11">
        <v>36.0</v>
      </c>
      <c r="G11" s="12">
        <f t="shared" si="1"/>
        <v>-1</v>
      </c>
      <c r="H11" s="13">
        <v>45844.0</v>
      </c>
      <c r="I11" s="14" t="s">
        <v>517</v>
      </c>
      <c r="J11" s="13">
        <v>45843.0</v>
      </c>
      <c r="K11" s="7" t="s">
        <v>283</v>
      </c>
      <c r="L11" s="9"/>
    </row>
    <row r="12">
      <c r="A12" s="7">
        <v>10.0</v>
      </c>
      <c r="B12" s="8">
        <v>9.08111101E8</v>
      </c>
      <c r="C12" s="9" t="s">
        <v>24</v>
      </c>
      <c r="D12" s="10">
        <v>2.7327912E7</v>
      </c>
      <c r="E12" s="7">
        <v>6.0</v>
      </c>
      <c r="F12" s="11">
        <v>6.0</v>
      </c>
      <c r="G12" s="12">
        <f t="shared" si="1"/>
        <v>0</v>
      </c>
      <c r="H12" s="13">
        <v>45844.0</v>
      </c>
      <c r="I12" s="14" t="s">
        <v>517</v>
      </c>
      <c r="J12" s="13">
        <v>45860.0</v>
      </c>
      <c r="K12" s="7" t="s">
        <v>283</v>
      </c>
      <c r="L12" s="9"/>
    </row>
    <row r="13">
      <c r="A13" s="7">
        <v>11.0</v>
      </c>
      <c r="B13" s="8">
        <v>9.08122011E8</v>
      </c>
      <c r="C13" s="9" t="s">
        <v>417</v>
      </c>
      <c r="D13" s="10">
        <v>2.7327912E7</v>
      </c>
      <c r="E13" s="7">
        <v>3.0</v>
      </c>
      <c r="F13" s="11">
        <v>3.0</v>
      </c>
      <c r="G13" s="12">
        <f t="shared" si="1"/>
        <v>0</v>
      </c>
      <c r="H13" s="13">
        <v>45840.0</v>
      </c>
      <c r="I13" s="14" t="s">
        <v>517</v>
      </c>
      <c r="J13" s="13">
        <v>45846.0</v>
      </c>
      <c r="K13" s="7" t="s">
        <v>283</v>
      </c>
      <c r="L13" s="9"/>
    </row>
    <row r="14">
      <c r="A14" s="7">
        <v>12.0</v>
      </c>
      <c r="B14" s="8">
        <v>9.08421025E8</v>
      </c>
      <c r="C14" s="9" t="s">
        <v>112</v>
      </c>
      <c r="D14" s="10">
        <v>2.7709051E7</v>
      </c>
      <c r="E14" s="7">
        <v>1.0</v>
      </c>
      <c r="F14" s="11">
        <v>1.0</v>
      </c>
      <c r="G14" s="12">
        <f t="shared" si="1"/>
        <v>0</v>
      </c>
      <c r="H14" s="13">
        <v>45911.0</v>
      </c>
      <c r="I14" s="14" t="s">
        <v>517</v>
      </c>
      <c r="J14" s="13">
        <v>45913.0</v>
      </c>
      <c r="K14" s="7" t="s">
        <v>16</v>
      </c>
      <c r="L14" s="9"/>
    </row>
    <row r="15">
      <c r="A15" s="7">
        <v>13.0</v>
      </c>
      <c r="B15" s="8">
        <v>9.08402208E8</v>
      </c>
      <c r="C15" s="9" t="s">
        <v>111</v>
      </c>
      <c r="D15" s="10">
        <v>2.7709051E7</v>
      </c>
      <c r="E15" s="7">
        <v>5.0</v>
      </c>
      <c r="F15" s="11">
        <v>5.0</v>
      </c>
      <c r="G15" s="12">
        <f t="shared" si="1"/>
        <v>0</v>
      </c>
      <c r="H15" s="13">
        <v>45911.0</v>
      </c>
      <c r="I15" s="14" t="s">
        <v>517</v>
      </c>
      <c r="J15" s="13">
        <v>45913.0</v>
      </c>
      <c r="K15" s="7" t="s">
        <v>16</v>
      </c>
      <c r="L15" s="9"/>
    </row>
    <row r="16">
      <c r="A16" s="7">
        <v>14.0</v>
      </c>
      <c r="B16" s="8">
        <v>9.08371012E8</v>
      </c>
      <c r="C16" s="9" t="s">
        <v>150</v>
      </c>
      <c r="D16" s="10">
        <v>2.7709051E7</v>
      </c>
      <c r="E16" s="7">
        <v>4.0</v>
      </c>
      <c r="F16" s="11">
        <v>4.0</v>
      </c>
      <c r="G16" s="12">
        <f t="shared" si="1"/>
        <v>0</v>
      </c>
      <c r="H16" s="13">
        <v>45911.0</v>
      </c>
      <c r="I16" s="14" t="s">
        <v>517</v>
      </c>
      <c r="J16" s="13">
        <v>45913.0</v>
      </c>
      <c r="K16" s="7" t="s">
        <v>16</v>
      </c>
      <c r="L16" s="9"/>
    </row>
    <row r="17">
      <c r="A17" s="7">
        <v>15.0</v>
      </c>
      <c r="B17" s="8">
        <v>9.08111101E8</v>
      </c>
      <c r="C17" s="9" t="s">
        <v>24</v>
      </c>
      <c r="D17" s="10"/>
      <c r="E17" s="7"/>
      <c r="F17" s="11">
        <v>6.0</v>
      </c>
      <c r="G17" s="12">
        <f t="shared" si="1"/>
        <v>-6</v>
      </c>
      <c r="H17" s="13"/>
      <c r="I17" s="14"/>
      <c r="J17" s="13"/>
      <c r="K17" s="7"/>
      <c r="L17" s="9"/>
    </row>
    <row r="18">
      <c r="A18" s="7">
        <v>18.0</v>
      </c>
      <c r="B18" s="8" t="s">
        <v>20</v>
      </c>
      <c r="C18" s="9" t="s">
        <v>21</v>
      </c>
      <c r="D18" s="10">
        <v>2.7709051E7</v>
      </c>
      <c r="E18" s="7">
        <v>2.0</v>
      </c>
      <c r="F18" s="11">
        <v>3.0</v>
      </c>
      <c r="G18" s="12">
        <f t="shared" si="1"/>
        <v>-1</v>
      </c>
      <c r="H18" s="13">
        <v>45911.0</v>
      </c>
      <c r="I18" s="14" t="s">
        <v>517</v>
      </c>
      <c r="J18" s="13">
        <v>45913.0</v>
      </c>
      <c r="K18" s="7" t="s">
        <v>16</v>
      </c>
      <c r="L18" s="9"/>
    </row>
    <row r="19">
      <c r="A19" s="7">
        <v>19.0</v>
      </c>
      <c r="B19" s="8">
        <v>9.08020201E8</v>
      </c>
      <c r="C19" s="9" t="s">
        <v>13</v>
      </c>
      <c r="D19" s="10">
        <v>2.7709051E7</v>
      </c>
      <c r="E19" s="7">
        <v>1.0</v>
      </c>
      <c r="F19" s="11"/>
      <c r="G19" s="12">
        <f t="shared" si="1"/>
        <v>1</v>
      </c>
      <c r="H19" s="13">
        <v>45914.0</v>
      </c>
      <c r="I19" s="14" t="s">
        <v>517</v>
      </c>
      <c r="J19" s="13"/>
      <c r="K19" s="7"/>
      <c r="L19" s="9"/>
    </row>
    <row r="20">
      <c r="A20" s="7">
        <v>20.0</v>
      </c>
      <c r="B20" s="8">
        <v>9.0820203E8</v>
      </c>
      <c r="C20" s="9" t="s">
        <v>19</v>
      </c>
      <c r="D20" s="10">
        <v>2.7709051E7</v>
      </c>
      <c r="E20" s="7">
        <v>25.0</v>
      </c>
      <c r="F20" s="11"/>
      <c r="G20" s="12">
        <f t="shared" si="1"/>
        <v>25</v>
      </c>
      <c r="H20" s="13">
        <v>45911.0</v>
      </c>
      <c r="I20" s="14" t="s">
        <v>517</v>
      </c>
      <c r="J20" s="13"/>
      <c r="K20" s="7"/>
      <c r="L20" s="9"/>
    </row>
    <row r="21" ht="15.75" customHeight="1">
      <c r="A21" s="7">
        <v>21.0</v>
      </c>
      <c r="B21" s="8">
        <v>9.08122003E8</v>
      </c>
      <c r="C21" s="9" t="s">
        <v>368</v>
      </c>
      <c r="D21" s="10">
        <v>2.7709051E7</v>
      </c>
      <c r="E21" s="7">
        <v>16.0</v>
      </c>
      <c r="F21" s="11"/>
      <c r="G21" s="12">
        <f t="shared" si="1"/>
        <v>16</v>
      </c>
      <c r="H21" s="13">
        <v>45911.0</v>
      </c>
      <c r="I21" s="14" t="s">
        <v>517</v>
      </c>
      <c r="J21" s="13"/>
      <c r="K21" s="7"/>
      <c r="L21" s="9"/>
    </row>
    <row r="22" ht="15.75" customHeight="1">
      <c r="A22" s="7">
        <v>22.0</v>
      </c>
      <c r="B22" s="8">
        <v>9.08421031E8</v>
      </c>
      <c r="C22" s="9" t="s">
        <v>122</v>
      </c>
      <c r="D22" s="10">
        <v>2.7709051E7</v>
      </c>
      <c r="E22" s="7">
        <v>2.0</v>
      </c>
      <c r="F22" s="11">
        <v>2.0</v>
      </c>
      <c r="G22" s="12">
        <f t="shared" si="1"/>
        <v>0</v>
      </c>
      <c r="H22" s="13">
        <v>45911.0</v>
      </c>
      <c r="I22" s="14" t="s">
        <v>517</v>
      </c>
      <c r="J22" s="13">
        <v>45913.0</v>
      </c>
      <c r="K22" s="7" t="s">
        <v>16</v>
      </c>
      <c r="L22" s="9"/>
    </row>
    <row r="23" ht="15.75" customHeight="1">
      <c r="A23" s="7">
        <v>23.0</v>
      </c>
      <c r="B23" s="8">
        <v>9.08371013E8</v>
      </c>
      <c r="C23" s="9" t="s">
        <v>121</v>
      </c>
      <c r="D23" s="10">
        <v>2.7709051E7</v>
      </c>
      <c r="E23" s="7">
        <v>1.0</v>
      </c>
      <c r="F23" s="11">
        <v>1.0</v>
      </c>
      <c r="G23" s="12">
        <f t="shared" si="1"/>
        <v>0</v>
      </c>
      <c r="H23" s="13">
        <v>45911.0</v>
      </c>
      <c r="I23" s="14" t="s">
        <v>517</v>
      </c>
      <c r="J23" s="13">
        <v>45913.0</v>
      </c>
      <c r="K23" s="7" t="s">
        <v>16</v>
      </c>
      <c r="L23" s="9"/>
    </row>
    <row r="24" ht="15.75" customHeight="1">
      <c r="A24" s="7">
        <v>24.0</v>
      </c>
      <c r="B24" s="8">
        <v>9.08202189E8</v>
      </c>
      <c r="C24" s="9" t="s">
        <v>55</v>
      </c>
      <c r="D24" s="10">
        <v>2.7709051E7</v>
      </c>
      <c r="E24" s="7">
        <v>2.0</v>
      </c>
      <c r="F24" s="11">
        <v>3.0</v>
      </c>
      <c r="G24" s="12">
        <f t="shared" si="1"/>
        <v>-1</v>
      </c>
      <c r="H24" s="13">
        <v>45914.0</v>
      </c>
      <c r="I24" s="14"/>
      <c r="J24" s="13">
        <v>45913.0</v>
      </c>
      <c r="K24" s="7" t="s">
        <v>16</v>
      </c>
      <c r="L24" s="9"/>
    </row>
    <row r="25" ht="15.75" customHeight="1">
      <c r="A25" s="7">
        <v>25.0</v>
      </c>
      <c r="B25" s="8">
        <v>9.0812201E8</v>
      </c>
      <c r="C25" s="9" t="s">
        <v>80</v>
      </c>
      <c r="D25" s="8">
        <v>2.7709051E7</v>
      </c>
      <c r="E25" s="7">
        <v>16.0</v>
      </c>
      <c r="F25" s="11"/>
      <c r="G25" s="12">
        <f t="shared" si="1"/>
        <v>16</v>
      </c>
      <c r="H25" s="13">
        <v>45914.0</v>
      </c>
      <c r="I25" s="14" t="s">
        <v>517</v>
      </c>
      <c r="J25" s="13"/>
      <c r="K25" s="7"/>
      <c r="L25" s="9"/>
    </row>
    <row r="26" ht="15.75" customHeight="1">
      <c r="A26" s="7"/>
      <c r="B26" s="8"/>
      <c r="C26" s="9"/>
      <c r="D26" s="8"/>
      <c r="E26" s="7"/>
      <c r="F26" s="11"/>
      <c r="G26" s="12">
        <f t="shared" si="1"/>
        <v>0</v>
      </c>
      <c r="H26" s="13"/>
      <c r="I26" s="14"/>
      <c r="J26" s="13"/>
      <c r="K26" s="7"/>
      <c r="L26" s="9"/>
    </row>
    <row r="27" ht="15.75" customHeight="1">
      <c r="A27" s="7"/>
      <c r="B27" s="8"/>
      <c r="C27" s="9"/>
      <c r="D27" s="8"/>
      <c r="E27" s="7"/>
      <c r="F27" s="11"/>
      <c r="G27" s="12">
        <f t="shared" si="1"/>
        <v>0</v>
      </c>
      <c r="H27" s="13"/>
      <c r="I27" s="14"/>
      <c r="J27" s="13"/>
      <c r="K27" s="7"/>
      <c r="L27" s="9"/>
    </row>
    <row r="28" ht="15.75" customHeight="1">
      <c r="A28" s="7"/>
      <c r="B28" s="8"/>
      <c r="C28" s="9"/>
      <c r="D28" s="8"/>
      <c r="E28" s="7"/>
      <c r="F28" s="11"/>
      <c r="G28" s="12"/>
      <c r="H28" s="13"/>
      <c r="I28" s="14"/>
      <c r="J28" s="13"/>
      <c r="K28" s="7"/>
      <c r="L28" s="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41.57"/>
    <col customWidth="1" min="13" max="26" width="8.71"/>
  </cols>
  <sheetData>
    <row r="1">
      <c r="A1" s="1" t="s">
        <v>528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9.08113004E8</v>
      </c>
      <c r="C3" s="20" t="s">
        <v>70</v>
      </c>
      <c r="D3" s="10">
        <v>2.6873031E7</v>
      </c>
      <c r="E3" s="7">
        <v>8.0</v>
      </c>
      <c r="F3" s="11">
        <v>8.0</v>
      </c>
      <c r="G3" s="12">
        <f t="shared" ref="G3:G13" si="1">E3-F3</f>
        <v>0</v>
      </c>
      <c r="H3" s="13">
        <v>45840.0</v>
      </c>
      <c r="I3" s="14" t="s">
        <v>517</v>
      </c>
      <c r="J3" s="15">
        <v>45843.0</v>
      </c>
      <c r="K3" s="7" t="s">
        <v>37</v>
      </c>
      <c r="L3" s="9"/>
    </row>
    <row r="4">
      <c r="A4" s="7">
        <v>2.0</v>
      </c>
      <c r="B4" s="8">
        <v>9.0812104E8</v>
      </c>
      <c r="C4" s="29" t="s">
        <v>66</v>
      </c>
      <c r="D4" s="10">
        <v>2.6873031E7</v>
      </c>
      <c r="E4" s="7">
        <v>2.0</v>
      </c>
      <c r="F4" s="11">
        <v>2.0</v>
      </c>
      <c r="G4" s="12">
        <f t="shared" si="1"/>
        <v>0</v>
      </c>
      <c r="H4" s="13">
        <v>45840.0</v>
      </c>
      <c r="I4" s="14" t="s">
        <v>517</v>
      </c>
      <c r="J4" s="15">
        <v>45843.0</v>
      </c>
      <c r="K4" s="7" t="s">
        <v>37</v>
      </c>
      <c r="L4" s="9"/>
    </row>
    <row r="5">
      <c r="A5" s="7">
        <v>3.0</v>
      </c>
      <c r="B5" s="8">
        <v>9.08569114E8</v>
      </c>
      <c r="C5" s="9" t="s">
        <v>149</v>
      </c>
      <c r="D5" s="10">
        <v>2.6873031E7</v>
      </c>
      <c r="E5" s="7">
        <v>1.0</v>
      </c>
      <c r="F5" s="11">
        <v>1.0</v>
      </c>
      <c r="G5" s="12">
        <f t="shared" si="1"/>
        <v>0</v>
      </c>
      <c r="H5" s="13">
        <v>45840.0</v>
      </c>
      <c r="I5" s="14" t="s">
        <v>517</v>
      </c>
      <c r="J5" s="15">
        <v>45843.0</v>
      </c>
      <c r="K5" s="7" t="s">
        <v>37</v>
      </c>
      <c r="L5" s="9"/>
    </row>
    <row r="6">
      <c r="A6" s="7">
        <v>4.0</v>
      </c>
      <c r="B6" s="8">
        <v>9.08321012E8</v>
      </c>
      <c r="C6" s="29" t="s">
        <v>380</v>
      </c>
      <c r="D6" s="10">
        <v>2.6873031E7</v>
      </c>
      <c r="E6" s="7">
        <v>1.0</v>
      </c>
      <c r="F6" s="11">
        <v>1.0</v>
      </c>
      <c r="G6" s="12">
        <f t="shared" si="1"/>
        <v>0</v>
      </c>
      <c r="H6" s="13">
        <v>45840.0</v>
      </c>
      <c r="I6" s="14" t="s">
        <v>517</v>
      </c>
      <c r="J6" s="15">
        <v>45843.0</v>
      </c>
      <c r="K6" s="7" t="s">
        <v>37</v>
      </c>
      <c r="L6" s="9"/>
    </row>
    <row r="7">
      <c r="A7" s="7">
        <v>5.0</v>
      </c>
      <c r="B7" s="8">
        <v>9.08111102E8</v>
      </c>
      <c r="C7" s="9" t="s">
        <v>420</v>
      </c>
      <c r="D7" s="10">
        <v>2.6873031E7</v>
      </c>
      <c r="E7" s="7">
        <v>25.0</v>
      </c>
      <c r="F7" s="11">
        <v>25.0</v>
      </c>
      <c r="G7" s="12">
        <f t="shared" si="1"/>
        <v>0</v>
      </c>
      <c r="H7" s="13">
        <v>45840.0</v>
      </c>
      <c r="I7" s="14" t="s">
        <v>517</v>
      </c>
      <c r="J7" s="15">
        <v>45851.0</v>
      </c>
      <c r="K7" s="7" t="s">
        <v>435</v>
      </c>
      <c r="L7" s="9"/>
    </row>
    <row r="8">
      <c r="A8" s="7">
        <v>6.0</v>
      </c>
      <c r="B8" s="8">
        <v>9.08202054E8</v>
      </c>
      <c r="C8" s="9" t="s">
        <v>21</v>
      </c>
      <c r="D8" s="10">
        <v>2.6873031E7</v>
      </c>
      <c r="E8" s="7">
        <v>4.0</v>
      </c>
      <c r="F8" s="11">
        <v>4.0</v>
      </c>
      <c r="G8" s="12">
        <f t="shared" si="1"/>
        <v>0</v>
      </c>
      <c r="H8" s="13">
        <v>45840.0</v>
      </c>
      <c r="I8" s="14" t="s">
        <v>517</v>
      </c>
      <c r="J8" s="15">
        <v>45851.0</v>
      </c>
      <c r="K8" s="7" t="s">
        <v>435</v>
      </c>
      <c r="L8" s="9"/>
    </row>
    <row r="9">
      <c r="A9" s="7">
        <v>7.0</v>
      </c>
      <c r="B9" s="8">
        <v>9.08202189E8</v>
      </c>
      <c r="C9" s="9" t="s">
        <v>423</v>
      </c>
      <c r="D9" s="10">
        <v>2.6873031E7</v>
      </c>
      <c r="E9" s="7">
        <v>8.0</v>
      </c>
      <c r="F9" s="11">
        <v>8.0</v>
      </c>
      <c r="G9" s="12">
        <f t="shared" si="1"/>
        <v>0</v>
      </c>
      <c r="H9" s="13">
        <v>45840.0</v>
      </c>
      <c r="I9" s="14" t="s">
        <v>517</v>
      </c>
      <c r="J9" s="15">
        <v>45851.0</v>
      </c>
      <c r="K9" s="7" t="s">
        <v>435</v>
      </c>
      <c r="L9" s="9"/>
    </row>
    <row r="10">
      <c r="A10" s="7">
        <v>8.0</v>
      </c>
      <c r="B10" s="8">
        <v>9.08122034E8</v>
      </c>
      <c r="C10" s="9" t="s">
        <v>36</v>
      </c>
      <c r="D10" s="10">
        <v>2.6873031E7</v>
      </c>
      <c r="E10" s="7">
        <v>8.0</v>
      </c>
      <c r="F10" s="11">
        <v>6.0</v>
      </c>
      <c r="G10" s="12">
        <f t="shared" si="1"/>
        <v>2</v>
      </c>
      <c r="H10" s="13">
        <v>45840.0</v>
      </c>
      <c r="I10" s="14" t="s">
        <v>517</v>
      </c>
      <c r="J10" s="15">
        <v>45851.0</v>
      </c>
      <c r="K10" s="7" t="s">
        <v>435</v>
      </c>
      <c r="L10" s="9"/>
    </row>
    <row r="11">
      <c r="A11" s="7">
        <v>9.0</v>
      </c>
      <c r="B11" s="8">
        <v>9.08111005E8</v>
      </c>
      <c r="C11" s="9" t="s">
        <v>26</v>
      </c>
      <c r="D11" s="10">
        <v>2.6873031E7</v>
      </c>
      <c r="E11" s="7">
        <v>10.0</v>
      </c>
      <c r="F11" s="11">
        <v>10.0</v>
      </c>
      <c r="G11" s="12">
        <f t="shared" si="1"/>
        <v>0</v>
      </c>
      <c r="H11" s="13">
        <v>45840.0</v>
      </c>
      <c r="I11" s="14" t="s">
        <v>517</v>
      </c>
      <c r="J11" s="15">
        <v>45853.0</v>
      </c>
      <c r="K11" s="7" t="s">
        <v>435</v>
      </c>
      <c r="L11" s="9"/>
    </row>
    <row r="12">
      <c r="A12" s="7">
        <v>10.0</v>
      </c>
      <c r="B12" s="8">
        <v>9.08111007E8</v>
      </c>
      <c r="C12" s="9" t="s">
        <v>28</v>
      </c>
      <c r="D12" s="10">
        <v>2.6873031E7</v>
      </c>
      <c r="E12" s="7">
        <v>25.0</v>
      </c>
      <c r="F12" s="11">
        <v>25.0</v>
      </c>
      <c r="G12" s="12">
        <f t="shared" si="1"/>
        <v>0</v>
      </c>
      <c r="H12" s="13">
        <v>45840.0</v>
      </c>
      <c r="I12" s="14" t="s">
        <v>517</v>
      </c>
      <c r="J12" s="15">
        <v>45853.0</v>
      </c>
      <c r="K12" s="7" t="s">
        <v>435</v>
      </c>
      <c r="L12" s="9"/>
    </row>
    <row r="13" ht="82.5" customHeight="1">
      <c r="A13" s="7">
        <v>11.0</v>
      </c>
      <c r="B13" s="8">
        <v>9.08114004E8</v>
      </c>
      <c r="C13" s="9" t="s">
        <v>69</v>
      </c>
      <c r="D13" s="10">
        <v>2.6873031E7</v>
      </c>
      <c r="E13" s="7">
        <v>240.0</v>
      </c>
      <c r="F13" s="11">
        <v>243.0</v>
      </c>
      <c r="G13" s="12">
        <f t="shared" si="1"/>
        <v>-3</v>
      </c>
      <c r="H13" s="13">
        <v>45840.0</v>
      </c>
      <c r="I13" s="14" t="s">
        <v>517</v>
      </c>
      <c r="J13" s="15">
        <v>45850.0</v>
      </c>
      <c r="K13" s="7" t="s">
        <v>435</v>
      </c>
      <c r="L13" s="92"/>
    </row>
    <row r="14">
      <c r="A14" s="7">
        <v>12.0</v>
      </c>
      <c r="B14" s="8">
        <v>9.08121153E8</v>
      </c>
      <c r="C14" s="9" t="s">
        <v>72</v>
      </c>
      <c r="D14" s="10">
        <v>2.6873031E7</v>
      </c>
      <c r="E14" s="7"/>
      <c r="F14" s="11"/>
      <c r="G14" s="12"/>
      <c r="H14" s="13"/>
      <c r="I14" s="14"/>
      <c r="J14" s="15"/>
      <c r="K14" s="7"/>
      <c r="L14" s="9"/>
    </row>
    <row r="15">
      <c r="A15" s="7">
        <v>13.0</v>
      </c>
      <c r="B15" s="8">
        <v>9.0812101E8</v>
      </c>
      <c r="C15" s="9" t="s">
        <v>18</v>
      </c>
      <c r="D15" s="10">
        <v>2.6873031E7</v>
      </c>
      <c r="E15" s="7">
        <v>2.0</v>
      </c>
      <c r="F15" s="11">
        <v>2.0</v>
      </c>
      <c r="G15" s="12">
        <f t="shared" ref="G15:G19" si="2">E15-F15</f>
        <v>0</v>
      </c>
      <c r="H15" s="13">
        <v>45840.0</v>
      </c>
      <c r="I15" s="14" t="s">
        <v>517</v>
      </c>
      <c r="J15" s="15">
        <v>45853.0</v>
      </c>
      <c r="K15" s="7" t="s">
        <v>435</v>
      </c>
      <c r="L15" s="9"/>
    </row>
    <row r="16">
      <c r="A16" s="7">
        <v>14.0</v>
      </c>
      <c r="B16" s="8">
        <v>9.08121144E8</v>
      </c>
      <c r="C16" s="9" t="s">
        <v>425</v>
      </c>
      <c r="D16" s="10">
        <v>2.6873031E7</v>
      </c>
      <c r="E16" s="7">
        <v>3.0</v>
      </c>
      <c r="F16" s="11">
        <f>2+1</f>
        <v>3</v>
      </c>
      <c r="G16" s="12">
        <f t="shared" si="2"/>
        <v>0</v>
      </c>
      <c r="H16" s="13">
        <v>45840.0</v>
      </c>
      <c r="I16" s="14" t="s">
        <v>517</v>
      </c>
      <c r="J16" s="30" t="s">
        <v>529</v>
      </c>
      <c r="K16" s="7" t="s">
        <v>435</v>
      </c>
      <c r="L16" s="9" t="s">
        <v>341</v>
      </c>
    </row>
    <row r="17">
      <c r="A17" s="7">
        <v>15.0</v>
      </c>
      <c r="B17" s="8">
        <v>9.08020201E8</v>
      </c>
      <c r="C17" s="9" t="s">
        <v>13</v>
      </c>
      <c r="D17" s="10">
        <v>2.6873031E7</v>
      </c>
      <c r="E17" s="7">
        <v>3.0</v>
      </c>
      <c r="F17" s="11">
        <v>2.0</v>
      </c>
      <c r="G17" s="12">
        <f t="shared" si="2"/>
        <v>1</v>
      </c>
      <c r="H17" s="13">
        <v>45840.0</v>
      </c>
      <c r="I17" s="14" t="s">
        <v>517</v>
      </c>
      <c r="J17" s="15">
        <v>45851.0</v>
      </c>
      <c r="K17" s="7" t="s">
        <v>435</v>
      </c>
      <c r="L17" s="9" t="s">
        <v>341</v>
      </c>
    </row>
    <row r="18">
      <c r="A18" s="7">
        <v>16.0</v>
      </c>
      <c r="B18" s="8">
        <v>9.08122011E8</v>
      </c>
      <c r="C18" s="9" t="s">
        <v>23</v>
      </c>
      <c r="D18" s="10">
        <v>2.6873031E7</v>
      </c>
      <c r="E18" s="7">
        <v>6.0</v>
      </c>
      <c r="F18" s="11">
        <v>6.0</v>
      </c>
      <c r="G18" s="12">
        <f t="shared" si="2"/>
        <v>0</v>
      </c>
      <c r="H18" s="13">
        <v>45840.0</v>
      </c>
      <c r="I18" s="14" t="s">
        <v>517</v>
      </c>
      <c r="J18" s="15">
        <v>45853.0</v>
      </c>
      <c r="K18" s="7" t="s">
        <v>435</v>
      </c>
      <c r="L18" s="9"/>
    </row>
    <row r="19">
      <c r="A19" s="7">
        <v>17.0</v>
      </c>
      <c r="B19" s="8">
        <v>9.0812115E8</v>
      </c>
      <c r="C19" s="9" t="s">
        <v>426</v>
      </c>
      <c r="D19" s="10">
        <v>2.6873031E7</v>
      </c>
      <c r="E19" s="7">
        <v>1.0</v>
      </c>
      <c r="F19" s="11">
        <v>1.0</v>
      </c>
      <c r="G19" s="12">
        <f t="shared" si="2"/>
        <v>0</v>
      </c>
      <c r="H19" s="13">
        <v>45840.0</v>
      </c>
      <c r="I19" s="14" t="s">
        <v>517</v>
      </c>
      <c r="J19" s="15">
        <v>45869.0</v>
      </c>
      <c r="K19" s="7" t="s">
        <v>435</v>
      </c>
      <c r="L1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530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20</v>
      </c>
      <c r="C3" s="20" t="s">
        <v>21</v>
      </c>
      <c r="D3" s="10">
        <v>2.7331711E7</v>
      </c>
      <c r="E3" s="7">
        <v>1.0</v>
      </c>
      <c r="F3" s="11">
        <v>1.0</v>
      </c>
      <c r="G3" s="12">
        <f t="shared" ref="G3:G11" si="1">E3-F3</f>
        <v>0</v>
      </c>
      <c r="H3" s="13">
        <v>45837.0</v>
      </c>
      <c r="I3" s="14" t="s">
        <v>517</v>
      </c>
      <c r="J3" s="13">
        <v>45838.0</v>
      </c>
      <c r="K3" s="7" t="s">
        <v>283</v>
      </c>
      <c r="L3" s="9"/>
    </row>
    <row r="4">
      <c r="A4" s="7">
        <v>2.0</v>
      </c>
      <c r="B4" s="8">
        <v>9.08402208E8</v>
      </c>
      <c r="C4" s="9" t="s">
        <v>531</v>
      </c>
      <c r="D4" s="10">
        <v>2.7331711E7</v>
      </c>
      <c r="E4" s="7">
        <v>1.0</v>
      </c>
      <c r="F4" s="11">
        <v>1.0</v>
      </c>
      <c r="G4" s="12">
        <f t="shared" si="1"/>
        <v>0</v>
      </c>
      <c r="H4" s="13">
        <v>45837.0</v>
      </c>
      <c r="I4" s="14" t="s">
        <v>517</v>
      </c>
      <c r="J4" s="13">
        <v>45838.0</v>
      </c>
      <c r="K4" s="7" t="s">
        <v>283</v>
      </c>
      <c r="L4" s="9"/>
    </row>
    <row r="5">
      <c r="A5" s="7">
        <v>3.0</v>
      </c>
      <c r="B5" s="8">
        <v>9.0812201E8</v>
      </c>
      <c r="C5" s="9" t="s">
        <v>80</v>
      </c>
      <c r="D5" s="10">
        <v>2.7331711E7</v>
      </c>
      <c r="E5" s="7">
        <v>4.0</v>
      </c>
      <c r="F5" s="11">
        <v>4.0</v>
      </c>
      <c r="G5" s="12">
        <f t="shared" si="1"/>
        <v>0</v>
      </c>
      <c r="H5" s="13">
        <v>45837.0</v>
      </c>
      <c r="I5" s="14" t="s">
        <v>517</v>
      </c>
      <c r="J5" s="13">
        <v>45838.0</v>
      </c>
      <c r="K5" s="7" t="s">
        <v>283</v>
      </c>
      <c r="L5" s="9"/>
    </row>
    <row r="6">
      <c r="A6" s="7">
        <v>4.0</v>
      </c>
      <c r="B6" s="8">
        <v>9.08421001E8</v>
      </c>
      <c r="C6" s="29" t="s">
        <v>532</v>
      </c>
      <c r="D6" s="10">
        <v>2.7331711E7</v>
      </c>
      <c r="E6" s="7">
        <v>1.0</v>
      </c>
      <c r="F6" s="11">
        <v>1.0</v>
      </c>
      <c r="G6" s="12">
        <f t="shared" si="1"/>
        <v>0</v>
      </c>
      <c r="H6" s="13">
        <v>45837.0</v>
      </c>
      <c r="I6" s="14" t="s">
        <v>517</v>
      </c>
      <c r="J6" s="13">
        <v>45838.0</v>
      </c>
      <c r="K6" s="7" t="s">
        <v>283</v>
      </c>
      <c r="L6" s="9"/>
    </row>
    <row r="7">
      <c r="A7" s="7">
        <v>5.0</v>
      </c>
      <c r="B7" s="8">
        <v>9.08371003E8</v>
      </c>
      <c r="C7" s="9" t="s">
        <v>533</v>
      </c>
      <c r="D7" s="10">
        <v>2.7331711E7</v>
      </c>
      <c r="E7" s="7">
        <v>1.0</v>
      </c>
      <c r="F7" s="11">
        <v>1.0</v>
      </c>
      <c r="G7" s="12">
        <f t="shared" si="1"/>
        <v>0</v>
      </c>
      <c r="H7" s="13">
        <v>45837.0</v>
      </c>
      <c r="I7" s="14" t="s">
        <v>517</v>
      </c>
      <c r="J7" s="13">
        <v>45838.0</v>
      </c>
      <c r="K7" s="7" t="s">
        <v>283</v>
      </c>
      <c r="L7" s="9"/>
    </row>
    <row r="8">
      <c r="A8" s="7">
        <v>6.0</v>
      </c>
      <c r="B8" s="8">
        <v>9.08020201E8</v>
      </c>
      <c r="C8" s="9" t="s">
        <v>13</v>
      </c>
      <c r="D8" s="10">
        <v>2.7331711E7</v>
      </c>
      <c r="E8" s="7">
        <v>1.0</v>
      </c>
      <c r="F8" s="11">
        <v>1.0</v>
      </c>
      <c r="G8" s="12">
        <f t="shared" si="1"/>
        <v>0</v>
      </c>
      <c r="H8" s="13">
        <v>45837.0</v>
      </c>
      <c r="I8" s="14" t="s">
        <v>517</v>
      </c>
      <c r="J8" s="13">
        <v>45838.0</v>
      </c>
      <c r="K8" s="7" t="s">
        <v>283</v>
      </c>
      <c r="L8" s="9"/>
    </row>
    <row r="9">
      <c r="A9" s="7">
        <v>7.0</v>
      </c>
      <c r="B9" s="8">
        <v>9.0820203E8</v>
      </c>
      <c r="C9" s="9" t="s">
        <v>19</v>
      </c>
      <c r="D9" s="10">
        <v>2.7331711E7</v>
      </c>
      <c r="E9" s="7">
        <v>4.0</v>
      </c>
      <c r="F9" s="11">
        <v>1.0</v>
      </c>
      <c r="G9" s="12">
        <f t="shared" si="1"/>
        <v>3</v>
      </c>
      <c r="H9" s="13">
        <v>45837.0</v>
      </c>
      <c r="I9" s="14" t="s">
        <v>517</v>
      </c>
      <c r="J9" s="13">
        <v>45838.0</v>
      </c>
      <c r="K9" s="7" t="s">
        <v>283</v>
      </c>
      <c r="L9" s="9"/>
    </row>
    <row r="10">
      <c r="A10" s="7">
        <v>8.0</v>
      </c>
      <c r="B10" s="8">
        <v>9.08202189E8</v>
      </c>
      <c r="C10" s="9" t="s">
        <v>423</v>
      </c>
      <c r="D10" s="10">
        <v>2.7331711E7</v>
      </c>
      <c r="E10" s="7">
        <v>1.0</v>
      </c>
      <c r="F10" s="11">
        <v>6.0</v>
      </c>
      <c r="G10" s="12">
        <f t="shared" si="1"/>
        <v>-5</v>
      </c>
      <c r="H10" s="13">
        <v>45837.0</v>
      </c>
      <c r="I10" s="14" t="s">
        <v>517</v>
      </c>
      <c r="J10" s="13">
        <v>45838.0</v>
      </c>
      <c r="K10" s="7" t="s">
        <v>283</v>
      </c>
      <c r="L10" s="9"/>
    </row>
    <row r="11">
      <c r="A11" s="7">
        <v>9.0</v>
      </c>
      <c r="B11" s="8">
        <v>9.08111101E8</v>
      </c>
      <c r="C11" s="9" t="s">
        <v>24</v>
      </c>
      <c r="D11" s="10">
        <v>2.7331711E7</v>
      </c>
      <c r="E11" s="7">
        <v>3.0</v>
      </c>
      <c r="F11" s="11">
        <v>2.0</v>
      </c>
      <c r="G11" s="12">
        <f t="shared" si="1"/>
        <v>1</v>
      </c>
      <c r="H11" s="13">
        <v>45844.0</v>
      </c>
      <c r="I11" s="14" t="s">
        <v>517</v>
      </c>
      <c r="J11" s="13">
        <v>45838.0</v>
      </c>
      <c r="K11" s="7" t="s">
        <v>283</v>
      </c>
      <c r="L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2.7316274E7</v>
      </c>
      <c r="E3" s="7">
        <v>3.0</v>
      </c>
      <c r="F3" s="11">
        <v>2.0</v>
      </c>
      <c r="G3" s="12">
        <f t="shared" ref="G3:G19" si="1">E3-F3</f>
        <v>1</v>
      </c>
      <c r="H3" s="13">
        <v>45833.0</v>
      </c>
      <c r="I3" s="14" t="s">
        <v>517</v>
      </c>
      <c r="J3" s="13">
        <v>45844.0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9.0812101E8</v>
      </c>
      <c r="C4" s="9" t="s">
        <v>18</v>
      </c>
      <c r="D4" s="10">
        <v>2.7316274E7</v>
      </c>
      <c r="E4" s="7">
        <v>1.0</v>
      </c>
      <c r="F4" s="11"/>
      <c r="G4" s="12">
        <f t="shared" si="1"/>
        <v>1</v>
      </c>
      <c r="H4" s="13">
        <v>45833.0</v>
      </c>
      <c r="I4" s="14" t="s">
        <v>517</v>
      </c>
      <c r="J4" s="13"/>
      <c r="K4" s="7"/>
      <c r="L4" s="9"/>
    </row>
    <row r="5">
      <c r="A5" s="7">
        <v>3.0</v>
      </c>
      <c r="B5" s="8">
        <v>9.0812201E8</v>
      </c>
      <c r="C5" s="9" t="s">
        <v>80</v>
      </c>
      <c r="D5" s="10">
        <v>2.7316274E7</v>
      </c>
      <c r="E5" s="7">
        <v>16.0</v>
      </c>
      <c r="F5" s="11">
        <v>8.0</v>
      </c>
      <c r="G5" s="12">
        <f t="shared" si="1"/>
        <v>8</v>
      </c>
      <c r="H5" s="13">
        <v>45833.0</v>
      </c>
      <c r="I5" s="14" t="s">
        <v>517</v>
      </c>
      <c r="J5" s="13">
        <v>45844.0</v>
      </c>
      <c r="K5" s="7" t="s">
        <v>283</v>
      </c>
      <c r="L5" s="9"/>
    </row>
    <row r="6">
      <c r="A6" s="7">
        <v>4.0</v>
      </c>
      <c r="B6" s="8" t="s">
        <v>25</v>
      </c>
      <c r="C6" s="9" t="s">
        <v>26</v>
      </c>
      <c r="D6" s="10">
        <v>2.7316274E7</v>
      </c>
      <c r="E6" s="7">
        <v>23.0</v>
      </c>
      <c r="F6" s="11">
        <v>23.0</v>
      </c>
      <c r="G6" s="12">
        <f t="shared" si="1"/>
        <v>0</v>
      </c>
      <c r="H6" s="13">
        <v>45833.0</v>
      </c>
      <c r="I6" s="14" t="s">
        <v>517</v>
      </c>
      <c r="J6" s="13">
        <v>45843.0</v>
      </c>
      <c r="K6" s="7" t="s">
        <v>283</v>
      </c>
      <c r="L6" s="9"/>
    </row>
    <row r="7">
      <c r="A7" s="7">
        <v>5.0</v>
      </c>
      <c r="B7" s="8" t="s">
        <v>27</v>
      </c>
      <c r="C7" s="9" t="s">
        <v>28</v>
      </c>
      <c r="D7" s="10">
        <v>2.7316274E7</v>
      </c>
      <c r="E7" s="7"/>
      <c r="F7" s="11"/>
      <c r="G7" s="12">
        <f t="shared" si="1"/>
        <v>0</v>
      </c>
      <c r="H7" s="13"/>
      <c r="I7" s="14"/>
      <c r="J7" s="13"/>
      <c r="K7" s="7"/>
      <c r="L7" s="9"/>
    </row>
    <row r="8">
      <c r="A8" s="7">
        <v>7.0</v>
      </c>
      <c r="B8" s="8">
        <v>9.08421003E8</v>
      </c>
      <c r="C8" s="9" t="s">
        <v>386</v>
      </c>
      <c r="D8" s="10">
        <v>2.7583107E7</v>
      </c>
      <c r="E8" s="7">
        <v>1.0</v>
      </c>
      <c r="F8" s="11">
        <v>1.0</v>
      </c>
      <c r="G8" s="12">
        <f t="shared" si="1"/>
        <v>0</v>
      </c>
      <c r="H8" s="13">
        <v>45886.0</v>
      </c>
      <c r="I8" s="14" t="s">
        <v>14</v>
      </c>
      <c r="J8" s="13">
        <v>45887.0</v>
      </c>
      <c r="K8" s="7" t="s">
        <v>283</v>
      </c>
      <c r="L8" s="9"/>
    </row>
    <row r="9">
      <c r="A9" s="7">
        <v>8.0</v>
      </c>
      <c r="B9" s="8">
        <v>9.08402208E8</v>
      </c>
      <c r="C9" s="9" t="s">
        <v>111</v>
      </c>
      <c r="D9" s="10">
        <v>2.7583107E7</v>
      </c>
      <c r="E9" s="7">
        <v>5.0</v>
      </c>
      <c r="F9" s="11"/>
      <c r="G9" s="12">
        <f t="shared" si="1"/>
        <v>5</v>
      </c>
      <c r="H9" s="13">
        <v>45886.0</v>
      </c>
      <c r="I9" s="14" t="s">
        <v>14</v>
      </c>
      <c r="J9" s="13"/>
      <c r="K9" s="7"/>
      <c r="L9" s="9"/>
    </row>
    <row r="10">
      <c r="A10" s="7">
        <v>9.0</v>
      </c>
      <c r="B10" s="8">
        <v>9.08371013E8</v>
      </c>
      <c r="C10" s="9" t="s">
        <v>121</v>
      </c>
      <c r="D10" s="10">
        <v>2.7583107E7</v>
      </c>
      <c r="E10" s="7">
        <v>1.0</v>
      </c>
      <c r="F10" s="11">
        <v>6.0</v>
      </c>
      <c r="G10" s="12">
        <f t="shared" si="1"/>
        <v>-5</v>
      </c>
      <c r="H10" s="13">
        <v>45886.0</v>
      </c>
      <c r="I10" s="14" t="s">
        <v>14</v>
      </c>
      <c r="J10" s="13">
        <v>45887.0</v>
      </c>
      <c r="K10" s="7" t="s">
        <v>283</v>
      </c>
      <c r="L10" s="9"/>
    </row>
    <row r="11">
      <c r="A11" s="7">
        <v>10.0</v>
      </c>
      <c r="B11" s="8">
        <v>9.0820203E8</v>
      </c>
      <c r="C11" s="9" t="s">
        <v>19</v>
      </c>
      <c r="D11" s="10">
        <v>2.7583107E7</v>
      </c>
      <c r="E11" s="7">
        <v>25.0</v>
      </c>
      <c r="F11" s="11">
        <v>5.0</v>
      </c>
      <c r="G11" s="12">
        <f t="shared" si="1"/>
        <v>20</v>
      </c>
      <c r="H11" s="13">
        <v>45886.0</v>
      </c>
      <c r="I11" s="14" t="s">
        <v>14</v>
      </c>
      <c r="J11" s="13">
        <v>45887.0</v>
      </c>
      <c r="K11" s="7" t="s">
        <v>283</v>
      </c>
      <c r="L11" s="9"/>
    </row>
    <row r="12">
      <c r="A12" s="7">
        <v>11.0</v>
      </c>
      <c r="B12" s="8">
        <v>9.08122003E8</v>
      </c>
      <c r="C12" s="9" t="s">
        <v>368</v>
      </c>
      <c r="D12" s="10">
        <v>2.7583107E7</v>
      </c>
      <c r="E12" s="7">
        <v>16.0</v>
      </c>
      <c r="F12" s="11">
        <v>16.0</v>
      </c>
      <c r="G12" s="12">
        <f t="shared" si="1"/>
        <v>0</v>
      </c>
      <c r="H12" s="13">
        <v>45886.0</v>
      </c>
      <c r="I12" s="14" t="s">
        <v>14</v>
      </c>
      <c r="J12" s="13">
        <v>45887.0</v>
      </c>
      <c r="K12" s="7" t="s">
        <v>283</v>
      </c>
      <c r="L12" s="9"/>
    </row>
    <row r="13">
      <c r="A13" s="7">
        <v>12.0</v>
      </c>
      <c r="B13" s="8">
        <v>9.08111101E8</v>
      </c>
      <c r="C13" s="9" t="s">
        <v>24</v>
      </c>
      <c r="D13" s="10">
        <v>2.7583107E7</v>
      </c>
      <c r="E13" s="7"/>
      <c r="F13" s="11">
        <v>4.0</v>
      </c>
      <c r="G13" s="12">
        <f t="shared" si="1"/>
        <v>-4</v>
      </c>
      <c r="H13" s="13">
        <v>45886.0</v>
      </c>
      <c r="I13" s="14" t="s">
        <v>14</v>
      </c>
      <c r="J13" s="13">
        <v>45887.0</v>
      </c>
      <c r="K13" s="7" t="s">
        <v>283</v>
      </c>
      <c r="L13" s="9"/>
    </row>
    <row r="14">
      <c r="A14" s="7">
        <v>14.0</v>
      </c>
      <c r="B14" s="8">
        <v>9.08202189E8</v>
      </c>
      <c r="C14" s="9" t="s">
        <v>55</v>
      </c>
      <c r="D14" s="10">
        <v>2.7583107E7</v>
      </c>
      <c r="E14" s="7">
        <v>2.0</v>
      </c>
      <c r="F14" s="11">
        <v>2.0</v>
      </c>
      <c r="G14" s="12">
        <f t="shared" si="1"/>
        <v>0</v>
      </c>
      <c r="H14" s="13">
        <v>45886.0</v>
      </c>
      <c r="I14" s="14" t="s">
        <v>14</v>
      </c>
      <c r="J14" s="13">
        <v>45887.0</v>
      </c>
      <c r="K14" s="7" t="s">
        <v>283</v>
      </c>
      <c r="L14" s="9"/>
    </row>
    <row r="15">
      <c r="A15" s="7">
        <v>15.0</v>
      </c>
      <c r="B15" s="8" t="s">
        <v>20</v>
      </c>
      <c r="C15" s="9" t="s">
        <v>21</v>
      </c>
      <c r="D15" s="10">
        <v>2.7583107E7</v>
      </c>
      <c r="E15" s="7">
        <v>2.0</v>
      </c>
      <c r="F15" s="11">
        <v>2.0</v>
      </c>
      <c r="G15" s="12">
        <f t="shared" si="1"/>
        <v>0</v>
      </c>
      <c r="H15" s="13">
        <v>45886.0</v>
      </c>
      <c r="I15" s="14" t="s">
        <v>14</v>
      </c>
      <c r="J15" s="13">
        <v>45887.0</v>
      </c>
      <c r="K15" s="7" t="s">
        <v>283</v>
      </c>
      <c r="L15" s="9"/>
    </row>
    <row r="16">
      <c r="A16" s="7">
        <v>17.0</v>
      </c>
      <c r="B16" s="8">
        <v>9.08020201E8</v>
      </c>
      <c r="C16" s="9" t="s">
        <v>13</v>
      </c>
      <c r="D16" s="10">
        <v>2.7583107E7</v>
      </c>
      <c r="E16" s="7">
        <v>1.0</v>
      </c>
      <c r="F16" s="11"/>
      <c r="G16" s="12">
        <f t="shared" si="1"/>
        <v>1</v>
      </c>
      <c r="H16" s="13">
        <v>45886.0</v>
      </c>
      <c r="I16" s="14" t="s">
        <v>14</v>
      </c>
      <c r="J16" s="13"/>
      <c r="K16" s="7"/>
      <c r="L16" s="9"/>
    </row>
    <row r="17">
      <c r="A17" s="7">
        <v>18.0</v>
      </c>
      <c r="B17" s="8">
        <v>9.08371012E8</v>
      </c>
      <c r="C17" s="9" t="s">
        <v>150</v>
      </c>
      <c r="D17" s="10">
        <v>2.7583107E7</v>
      </c>
      <c r="E17" s="7">
        <v>4.0</v>
      </c>
      <c r="F17" s="11">
        <v>4.0</v>
      </c>
      <c r="G17" s="12">
        <f t="shared" si="1"/>
        <v>0</v>
      </c>
      <c r="H17" s="13">
        <v>45886.0</v>
      </c>
      <c r="I17" s="14" t="s">
        <v>14</v>
      </c>
      <c r="J17" s="13">
        <v>45887.0</v>
      </c>
      <c r="K17" s="7" t="s">
        <v>283</v>
      </c>
      <c r="L17" s="9"/>
    </row>
    <row r="18">
      <c r="A18" s="7">
        <v>19.0</v>
      </c>
      <c r="B18" s="8">
        <v>9.08421025E8</v>
      </c>
      <c r="C18" s="20" t="s">
        <v>112</v>
      </c>
      <c r="D18" s="10">
        <v>2.7583107E7</v>
      </c>
      <c r="E18" s="7">
        <v>1.0</v>
      </c>
      <c r="F18" s="11">
        <v>1.0</v>
      </c>
      <c r="G18" s="12">
        <f t="shared" si="1"/>
        <v>0</v>
      </c>
      <c r="H18" s="13">
        <v>45886.0</v>
      </c>
      <c r="I18" s="14" t="s">
        <v>14</v>
      </c>
      <c r="J18" s="13">
        <v>45887.0</v>
      </c>
      <c r="K18" s="7" t="s">
        <v>283</v>
      </c>
      <c r="L18" s="9"/>
    </row>
    <row r="19">
      <c r="A19" s="7">
        <v>20.0</v>
      </c>
      <c r="B19" s="8"/>
      <c r="C19" s="9"/>
      <c r="D19" s="10"/>
      <c r="E19" s="7"/>
      <c r="F19" s="11"/>
      <c r="G19" s="12">
        <f t="shared" si="1"/>
        <v>0</v>
      </c>
      <c r="H19" s="13"/>
      <c r="I19" s="14"/>
      <c r="J19" s="13"/>
      <c r="K19" s="7"/>
      <c r="L1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2.7316238E7</v>
      </c>
      <c r="E3" s="7">
        <v>2.0</v>
      </c>
      <c r="F3" s="11">
        <v>2.0</v>
      </c>
      <c r="G3" s="12">
        <f t="shared" ref="G3:G22" si="1">E3-F3</f>
        <v>0</v>
      </c>
      <c r="H3" s="13">
        <v>45833.0</v>
      </c>
      <c r="I3" s="14" t="s">
        <v>517</v>
      </c>
      <c r="J3" s="15">
        <v>45862.0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39" t="s">
        <v>536</v>
      </c>
      <c r="E4" s="7">
        <f>2+2</f>
        <v>4</v>
      </c>
      <c r="F4" s="11">
        <f>2+3</f>
        <v>5</v>
      </c>
      <c r="G4" s="12">
        <f t="shared" si="1"/>
        <v>-1</v>
      </c>
      <c r="H4" s="13" t="s">
        <v>537</v>
      </c>
      <c r="I4" s="14" t="s">
        <v>517</v>
      </c>
      <c r="J4" s="15">
        <v>45862.0</v>
      </c>
      <c r="K4" s="7" t="s">
        <v>283</v>
      </c>
      <c r="L4" s="9"/>
    </row>
    <row r="5">
      <c r="A5" s="7">
        <v>3.0</v>
      </c>
      <c r="B5" s="19" t="s">
        <v>103</v>
      </c>
      <c r="C5" s="20" t="s">
        <v>104</v>
      </c>
      <c r="D5" s="10">
        <v>2.7316238E7</v>
      </c>
      <c r="E5" s="7">
        <v>1.0</v>
      </c>
      <c r="F5" s="11">
        <v>1.0</v>
      </c>
      <c r="G5" s="12">
        <f t="shared" si="1"/>
        <v>0</v>
      </c>
      <c r="H5" s="13">
        <v>45833.0</v>
      </c>
      <c r="I5" s="14" t="s">
        <v>517</v>
      </c>
      <c r="J5" s="15">
        <v>45862.0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10">
        <v>2.7316238E7</v>
      </c>
      <c r="E6" s="7">
        <v>2.0</v>
      </c>
      <c r="F6" s="11">
        <v>2.0</v>
      </c>
      <c r="G6" s="12">
        <f t="shared" si="1"/>
        <v>0</v>
      </c>
      <c r="H6" s="13">
        <v>45833.0</v>
      </c>
      <c r="I6" s="14" t="s">
        <v>517</v>
      </c>
      <c r="J6" s="15">
        <v>45862.0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39" t="s">
        <v>536</v>
      </c>
      <c r="E7" s="7">
        <f>2+25</f>
        <v>27</v>
      </c>
      <c r="F7" s="11">
        <v>2.0</v>
      </c>
      <c r="G7" s="12">
        <f t="shared" si="1"/>
        <v>25</v>
      </c>
      <c r="H7" s="13" t="s">
        <v>537</v>
      </c>
      <c r="I7" s="14" t="s">
        <v>517</v>
      </c>
      <c r="J7" s="15">
        <v>45862.0</v>
      </c>
      <c r="K7" s="7" t="s">
        <v>283</v>
      </c>
      <c r="L7" s="9"/>
    </row>
    <row r="8">
      <c r="A8" s="7">
        <v>6.0</v>
      </c>
      <c r="B8" s="8">
        <v>9.0812101E8</v>
      </c>
      <c r="C8" s="9" t="s">
        <v>18</v>
      </c>
      <c r="D8" s="10">
        <v>2.7316238E7</v>
      </c>
      <c r="E8" s="7">
        <v>2.0</v>
      </c>
      <c r="F8" s="11">
        <v>1.0</v>
      </c>
      <c r="G8" s="12">
        <f t="shared" si="1"/>
        <v>1</v>
      </c>
      <c r="H8" s="13">
        <v>45833.0</v>
      </c>
      <c r="I8" s="14" t="s">
        <v>517</v>
      </c>
      <c r="J8" s="15">
        <v>45845.0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39" t="s">
        <v>536</v>
      </c>
      <c r="E9" s="7">
        <f>1+1</f>
        <v>2</v>
      </c>
      <c r="F9" s="11"/>
      <c r="G9" s="12">
        <f t="shared" si="1"/>
        <v>2</v>
      </c>
      <c r="H9" s="13" t="s">
        <v>537</v>
      </c>
      <c r="I9" s="14" t="s">
        <v>517</v>
      </c>
      <c r="J9" s="15"/>
      <c r="K9" s="7"/>
      <c r="L9" s="9"/>
    </row>
    <row r="10">
      <c r="A10" s="7">
        <v>8.0</v>
      </c>
      <c r="B10" s="8" t="s">
        <v>25</v>
      </c>
      <c r="C10" s="9" t="s">
        <v>26</v>
      </c>
      <c r="D10" s="10">
        <v>2.7316238E7</v>
      </c>
      <c r="E10" s="7">
        <v>65.0</v>
      </c>
      <c r="F10" s="11">
        <v>6.0</v>
      </c>
      <c r="G10" s="12">
        <f t="shared" si="1"/>
        <v>59</v>
      </c>
      <c r="H10" s="13">
        <v>45833.0</v>
      </c>
      <c r="I10" s="14" t="s">
        <v>517</v>
      </c>
      <c r="J10" s="15">
        <v>45840.0</v>
      </c>
      <c r="K10" s="7" t="s">
        <v>283</v>
      </c>
      <c r="L10" s="9"/>
    </row>
    <row r="11">
      <c r="A11" s="7">
        <v>9.0</v>
      </c>
      <c r="B11" s="8" t="s">
        <v>27</v>
      </c>
      <c r="C11" s="9" t="s">
        <v>28</v>
      </c>
      <c r="D11" s="10">
        <v>2.7316238E7</v>
      </c>
      <c r="E11" s="7">
        <v>29.0</v>
      </c>
      <c r="F11" s="11">
        <v>29.0</v>
      </c>
      <c r="G11" s="12">
        <f t="shared" si="1"/>
        <v>0</v>
      </c>
      <c r="H11" s="13">
        <v>45833.0</v>
      </c>
      <c r="I11" s="14" t="s">
        <v>517</v>
      </c>
      <c r="J11" s="15">
        <v>45840.0</v>
      </c>
      <c r="K11" s="7" t="s">
        <v>283</v>
      </c>
      <c r="L11" s="9"/>
    </row>
    <row r="12">
      <c r="A12" s="7">
        <v>10.0</v>
      </c>
      <c r="B12" s="8">
        <v>9.08111101E8</v>
      </c>
      <c r="C12" s="9" t="s">
        <v>24</v>
      </c>
      <c r="D12" s="10">
        <v>2.7316238E7</v>
      </c>
      <c r="E12" s="7">
        <v>6.0</v>
      </c>
      <c r="F12" s="11">
        <f>6+6</f>
        <v>12</v>
      </c>
      <c r="G12" s="12">
        <f t="shared" si="1"/>
        <v>-6</v>
      </c>
      <c r="H12" s="13">
        <v>45833.0</v>
      </c>
      <c r="I12" s="14" t="s">
        <v>517</v>
      </c>
      <c r="J12" s="30" t="s">
        <v>538</v>
      </c>
      <c r="K12" s="7" t="s">
        <v>283</v>
      </c>
      <c r="L12" s="9"/>
    </row>
    <row r="13">
      <c r="A13" s="7">
        <v>11.0</v>
      </c>
      <c r="B13" s="8">
        <v>9.08122011E8</v>
      </c>
      <c r="C13" s="9" t="s">
        <v>23</v>
      </c>
      <c r="D13" s="10">
        <v>2.8236175E7</v>
      </c>
      <c r="E13" s="7">
        <v>3.0</v>
      </c>
      <c r="F13" s="11">
        <v>3.0</v>
      </c>
      <c r="G13" s="12">
        <f t="shared" si="1"/>
        <v>0</v>
      </c>
      <c r="H13" s="13">
        <v>46008.0</v>
      </c>
      <c r="I13" s="14" t="s">
        <v>517</v>
      </c>
      <c r="J13" s="15">
        <v>45845.0</v>
      </c>
      <c r="K13" s="7" t="s">
        <v>283</v>
      </c>
      <c r="L13" s="9"/>
    </row>
    <row r="14">
      <c r="A14" s="7">
        <v>12.0</v>
      </c>
      <c r="B14" s="8">
        <v>9.0812201E8</v>
      </c>
      <c r="C14" s="9" t="s">
        <v>539</v>
      </c>
      <c r="D14" s="10">
        <v>2.8236175E7</v>
      </c>
      <c r="E14" s="7">
        <v>16.0</v>
      </c>
      <c r="F14" s="11"/>
      <c r="G14" s="12">
        <f t="shared" si="1"/>
        <v>16</v>
      </c>
      <c r="H14" s="13">
        <v>46008.0</v>
      </c>
      <c r="I14" s="14" t="s">
        <v>517</v>
      </c>
      <c r="J14" s="13"/>
      <c r="K14" s="7"/>
      <c r="L14" s="9"/>
    </row>
    <row r="15">
      <c r="A15" s="7">
        <v>13.0</v>
      </c>
      <c r="B15" s="8">
        <v>9.08122003E8</v>
      </c>
      <c r="C15" s="9" t="s">
        <v>368</v>
      </c>
      <c r="D15" s="10">
        <v>2.8236175E7</v>
      </c>
      <c r="E15" s="7">
        <v>16.0</v>
      </c>
      <c r="F15" s="11"/>
      <c r="G15" s="12">
        <f t="shared" si="1"/>
        <v>16</v>
      </c>
      <c r="H15" s="13">
        <v>46008.0</v>
      </c>
      <c r="I15" s="14" t="s">
        <v>517</v>
      </c>
      <c r="J15" s="13"/>
      <c r="K15" s="7"/>
      <c r="L15" s="9"/>
    </row>
    <row r="16">
      <c r="A16" s="7">
        <v>14.0</v>
      </c>
      <c r="B16" s="8">
        <v>9.08371011E8</v>
      </c>
      <c r="C16" s="9" t="s">
        <v>540</v>
      </c>
      <c r="D16" s="10">
        <v>2.8236175E7</v>
      </c>
      <c r="E16" s="7">
        <v>1.0</v>
      </c>
      <c r="F16" s="11">
        <v>1.0</v>
      </c>
      <c r="G16" s="12">
        <f t="shared" si="1"/>
        <v>0</v>
      </c>
      <c r="H16" s="13">
        <v>46008.0</v>
      </c>
      <c r="I16" s="14" t="s">
        <v>517</v>
      </c>
      <c r="J16" s="13">
        <v>46009.0</v>
      </c>
      <c r="K16" s="7" t="s">
        <v>16</v>
      </c>
      <c r="L16" s="9"/>
    </row>
    <row r="17">
      <c r="A17" s="7">
        <v>15.0</v>
      </c>
      <c r="B17" s="8">
        <v>9.08371014E8</v>
      </c>
      <c r="C17" s="9" t="s">
        <v>113</v>
      </c>
      <c r="D17" s="10">
        <v>2.8236175E7</v>
      </c>
      <c r="E17" s="7">
        <v>1.0</v>
      </c>
      <c r="F17" s="11">
        <v>1.0</v>
      </c>
      <c r="G17" s="12">
        <f t="shared" si="1"/>
        <v>0</v>
      </c>
      <c r="H17" s="13">
        <v>46008.0</v>
      </c>
      <c r="I17" s="14" t="s">
        <v>517</v>
      </c>
      <c r="J17" s="13">
        <v>46009.0</v>
      </c>
      <c r="K17" s="7" t="s">
        <v>16</v>
      </c>
      <c r="L17" s="9"/>
    </row>
    <row r="18">
      <c r="A18" s="7">
        <v>16.0</v>
      </c>
      <c r="B18" s="8">
        <v>9.08402208E8</v>
      </c>
      <c r="C18" s="9" t="s">
        <v>111</v>
      </c>
      <c r="D18" s="10">
        <v>2.8236175E7</v>
      </c>
      <c r="E18" s="7">
        <v>5.0</v>
      </c>
      <c r="F18" s="11">
        <v>5.0</v>
      </c>
      <c r="G18" s="12">
        <f t="shared" si="1"/>
        <v>0</v>
      </c>
      <c r="H18" s="13">
        <v>46008.0</v>
      </c>
      <c r="I18" s="14" t="s">
        <v>517</v>
      </c>
      <c r="J18" s="13">
        <v>46009.0</v>
      </c>
      <c r="K18" s="7" t="s">
        <v>16</v>
      </c>
      <c r="L18" s="9"/>
    </row>
    <row r="19">
      <c r="A19" s="7">
        <v>17.0</v>
      </c>
      <c r="B19" s="8">
        <v>9.08421025E8</v>
      </c>
      <c r="C19" s="20" t="s">
        <v>112</v>
      </c>
      <c r="D19" s="10">
        <v>2.8236175E7</v>
      </c>
      <c r="E19" s="7">
        <v>1.0</v>
      </c>
      <c r="F19" s="11">
        <v>1.0</v>
      </c>
      <c r="G19" s="12">
        <f t="shared" si="1"/>
        <v>0</v>
      </c>
      <c r="H19" s="13">
        <v>46008.0</v>
      </c>
      <c r="I19" s="14" t="s">
        <v>517</v>
      </c>
      <c r="J19" s="13">
        <v>46009.0</v>
      </c>
      <c r="K19" s="7" t="s">
        <v>16</v>
      </c>
      <c r="L19" s="9"/>
    </row>
    <row r="20">
      <c r="A20" s="7">
        <v>18.0</v>
      </c>
      <c r="B20" s="8">
        <v>9.08421031E8</v>
      </c>
      <c r="C20" s="9" t="s">
        <v>122</v>
      </c>
      <c r="D20" s="10">
        <v>2.8236175E7</v>
      </c>
      <c r="E20" s="7">
        <v>2.0</v>
      </c>
      <c r="F20" s="11">
        <v>2.0</v>
      </c>
      <c r="G20" s="12">
        <f t="shared" si="1"/>
        <v>0</v>
      </c>
      <c r="H20" s="13">
        <v>46008.0</v>
      </c>
      <c r="I20" s="14" t="s">
        <v>517</v>
      </c>
      <c r="J20" s="13">
        <v>46009.0</v>
      </c>
      <c r="K20" s="7" t="s">
        <v>16</v>
      </c>
      <c r="L20" s="9"/>
    </row>
    <row r="21" ht="15.75" customHeight="1">
      <c r="A21" s="7">
        <v>19.0</v>
      </c>
      <c r="B21" s="8">
        <v>9.08371012E8</v>
      </c>
      <c r="C21" s="9" t="s">
        <v>150</v>
      </c>
      <c r="D21" s="10">
        <v>2.8236175E7</v>
      </c>
      <c r="E21" s="7">
        <v>3.0</v>
      </c>
      <c r="F21" s="11">
        <v>3.0</v>
      </c>
      <c r="G21" s="12">
        <f t="shared" si="1"/>
        <v>0</v>
      </c>
      <c r="H21" s="13">
        <v>46036.0</v>
      </c>
      <c r="I21" s="14" t="s">
        <v>517</v>
      </c>
      <c r="J21" s="13">
        <v>46009.0</v>
      </c>
      <c r="K21" s="7" t="s">
        <v>16</v>
      </c>
      <c r="L21" s="9"/>
    </row>
    <row r="22" ht="15.75" customHeight="1">
      <c r="A22" s="7"/>
      <c r="B22" s="8">
        <v>9.08202189E8</v>
      </c>
      <c r="C22" s="9" t="s">
        <v>55</v>
      </c>
      <c r="D22" s="10">
        <v>2.8236175E7</v>
      </c>
      <c r="E22" s="7">
        <v>2.0</v>
      </c>
      <c r="F22" s="11">
        <v>3.0</v>
      </c>
      <c r="G22" s="12">
        <f t="shared" si="1"/>
        <v>-1</v>
      </c>
      <c r="H22" s="13">
        <v>46008.0</v>
      </c>
      <c r="I22" s="14" t="s">
        <v>517</v>
      </c>
      <c r="J22" s="13">
        <v>46009.0</v>
      </c>
      <c r="K22" s="7" t="s">
        <v>16</v>
      </c>
      <c r="L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9.08121009E8</v>
      </c>
      <c r="C3" s="9" t="s">
        <v>444</v>
      </c>
      <c r="D3" s="10">
        <v>2.7313026E7</v>
      </c>
      <c r="E3" s="7">
        <v>1.0</v>
      </c>
      <c r="F3" s="11">
        <v>1.0</v>
      </c>
      <c r="G3" s="12">
        <f t="shared" ref="G3:G8" si="1">E3-F3</f>
        <v>0</v>
      </c>
      <c r="H3" s="13">
        <v>45833.0</v>
      </c>
      <c r="I3" s="14" t="s">
        <v>517</v>
      </c>
      <c r="J3" s="13">
        <v>45838.0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445</v>
      </c>
      <c r="C4" s="9" t="s">
        <v>446</v>
      </c>
      <c r="D4" s="10">
        <v>2.7313026E7</v>
      </c>
      <c r="E4" s="7">
        <v>4.0</v>
      </c>
      <c r="F4" s="11">
        <v>4.0</v>
      </c>
      <c r="G4" s="12">
        <f t="shared" si="1"/>
        <v>0</v>
      </c>
      <c r="H4" s="13">
        <v>45833.0</v>
      </c>
      <c r="I4" s="14" t="s">
        <v>517</v>
      </c>
      <c r="J4" s="13">
        <v>45838.0</v>
      </c>
      <c r="K4" s="7" t="s">
        <v>283</v>
      </c>
      <c r="L4" s="9"/>
    </row>
    <row r="5">
      <c r="A5" s="7">
        <v>3.0</v>
      </c>
      <c r="B5" s="8">
        <v>9.08122035E8</v>
      </c>
      <c r="C5" s="29" t="s">
        <v>235</v>
      </c>
      <c r="D5" s="10">
        <v>2.7313026E7</v>
      </c>
      <c r="E5" s="7">
        <v>4.0</v>
      </c>
      <c r="F5" s="11">
        <v>4.0</v>
      </c>
      <c r="G5" s="12">
        <f t="shared" si="1"/>
        <v>0</v>
      </c>
      <c r="H5" s="13">
        <v>45833.0</v>
      </c>
      <c r="I5" s="14" t="s">
        <v>517</v>
      </c>
      <c r="J5" s="13">
        <v>45838.0</v>
      </c>
      <c r="K5" s="7" t="s">
        <v>283</v>
      </c>
      <c r="L5" s="9"/>
    </row>
    <row r="6">
      <c r="A6" s="7">
        <v>4.0</v>
      </c>
      <c r="B6" s="19" t="s">
        <v>20</v>
      </c>
      <c r="C6" s="20" t="s">
        <v>21</v>
      </c>
      <c r="D6" s="10">
        <v>2.7313026E7</v>
      </c>
      <c r="E6" s="7">
        <v>1.0</v>
      </c>
      <c r="F6" s="11">
        <v>2.0</v>
      </c>
      <c r="G6" s="12">
        <f t="shared" si="1"/>
        <v>-1</v>
      </c>
      <c r="H6" s="13">
        <v>45833.0</v>
      </c>
      <c r="I6" s="14" t="s">
        <v>517</v>
      </c>
      <c r="J6" s="13">
        <v>45838.0</v>
      </c>
      <c r="K6" s="7" t="s">
        <v>283</v>
      </c>
      <c r="L6" s="9"/>
    </row>
    <row r="7">
      <c r="A7" s="7">
        <v>5.0</v>
      </c>
      <c r="B7" s="8">
        <v>9.08202189E8</v>
      </c>
      <c r="C7" s="9" t="s">
        <v>423</v>
      </c>
      <c r="D7" s="10">
        <v>2.7313026E7</v>
      </c>
      <c r="E7" s="7">
        <v>1.0</v>
      </c>
      <c r="F7" s="11">
        <v>1.0</v>
      </c>
      <c r="G7" s="12">
        <f t="shared" si="1"/>
        <v>0</v>
      </c>
      <c r="H7" s="13">
        <v>45833.0</v>
      </c>
      <c r="I7" s="14" t="s">
        <v>517</v>
      </c>
      <c r="J7" s="13">
        <v>45838.0</v>
      </c>
      <c r="K7" s="7" t="s">
        <v>283</v>
      </c>
      <c r="L7" s="9"/>
    </row>
    <row r="8">
      <c r="A8" s="7">
        <v>9.0</v>
      </c>
      <c r="B8" s="8">
        <v>9.0820203E8</v>
      </c>
      <c r="C8" s="9" t="s">
        <v>19</v>
      </c>
      <c r="D8" s="10">
        <v>2.7313026E7</v>
      </c>
      <c r="E8" s="7">
        <v>1.0</v>
      </c>
      <c r="F8" s="11">
        <v>1.0</v>
      </c>
      <c r="G8" s="12">
        <f t="shared" si="1"/>
        <v>0</v>
      </c>
      <c r="H8" s="13">
        <v>45833.0</v>
      </c>
      <c r="I8" s="14" t="s">
        <v>517</v>
      </c>
      <c r="J8" s="13">
        <v>45838.0</v>
      </c>
      <c r="K8" s="7" t="s">
        <v>283</v>
      </c>
      <c r="L8" s="9"/>
    </row>
    <row r="9">
      <c r="A9" s="7">
        <v>12.0</v>
      </c>
      <c r="B9" s="8">
        <v>9.08111006E8</v>
      </c>
      <c r="C9" s="9" t="s">
        <v>71</v>
      </c>
      <c r="D9" s="10">
        <v>2.7313026E7</v>
      </c>
      <c r="E9" s="7">
        <v>5.0</v>
      </c>
      <c r="F9" s="11">
        <v>5.0</v>
      </c>
      <c r="G9" s="12">
        <v>5.0</v>
      </c>
      <c r="H9" s="13">
        <v>45833.0</v>
      </c>
      <c r="I9" s="14" t="s">
        <v>517</v>
      </c>
      <c r="J9" s="13">
        <v>45838.0</v>
      </c>
      <c r="K9" s="7" t="s">
        <v>283</v>
      </c>
      <c r="L9" s="9"/>
    </row>
    <row r="10">
      <c r="A10" s="7">
        <v>13.0</v>
      </c>
      <c r="B10" s="8">
        <v>9.08111101E8</v>
      </c>
      <c r="C10" s="9" t="s">
        <v>24</v>
      </c>
      <c r="D10" s="10">
        <v>2.7313026E7</v>
      </c>
      <c r="E10" s="7">
        <v>2.0</v>
      </c>
      <c r="F10" s="11">
        <v>6.0</v>
      </c>
      <c r="G10" s="12">
        <v>0.0</v>
      </c>
      <c r="H10" s="13">
        <v>45833.0</v>
      </c>
      <c r="I10" s="14" t="s">
        <v>517</v>
      </c>
      <c r="J10" s="13">
        <v>45839.0</v>
      </c>
      <c r="K10" s="7" t="s">
        <v>283</v>
      </c>
      <c r="L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2.7309558E7</v>
      </c>
      <c r="E3" s="7">
        <v>27.0</v>
      </c>
      <c r="F3" s="11">
        <v>27.0</v>
      </c>
      <c r="G3" s="12">
        <f t="shared" ref="G3:G15" si="1">E3-F3</f>
        <v>0</v>
      </c>
      <c r="H3" s="13">
        <v>45833.0</v>
      </c>
      <c r="I3" s="14" t="s">
        <v>517</v>
      </c>
      <c r="J3" s="13">
        <v>45840.0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2.7309558E7</v>
      </c>
      <c r="E4" s="7">
        <v>2.0</v>
      </c>
      <c r="F4" s="11">
        <v>2.0</v>
      </c>
      <c r="G4" s="12">
        <f t="shared" si="1"/>
        <v>0</v>
      </c>
      <c r="H4" s="13">
        <v>45833.0</v>
      </c>
      <c r="I4" s="14" t="s">
        <v>517</v>
      </c>
      <c r="J4" s="13">
        <v>45841.0</v>
      </c>
      <c r="K4" s="7" t="s">
        <v>283</v>
      </c>
      <c r="L4" s="9"/>
    </row>
    <row r="5">
      <c r="A5" s="7">
        <v>3.0</v>
      </c>
      <c r="B5" s="8">
        <v>9.08421031E8</v>
      </c>
      <c r="C5" s="20" t="s">
        <v>122</v>
      </c>
      <c r="D5" s="10">
        <v>2.7716544E7</v>
      </c>
      <c r="E5" s="7">
        <v>2.0</v>
      </c>
      <c r="F5" s="11">
        <v>2.0</v>
      </c>
      <c r="G5" s="12">
        <f t="shared" si="1"/>
        <v>0</v>
      </c>
      <c r="H5" s="13">
        <v>45911.0</v>
      </c>
      <c r="I5" s="14" t="s">
        <v>517</v>
      </c>
      <c r="J5" s="13">
        <v>45913.0</v>
      </c>
      <c r="K5" s="7" t="s">
        <v>283</v>
      </c>
      <c r="L5" s="9"/>
    </row>
    <row r="6">
      <c r="A6" s="7">
        <v>4.0</v>
      </c>
      <c r="B6" s="19">
        <v>9.08421025E8</v>
      </c>
      <c r="C6" s="20" t="s">
        <v>112</v>
      </c>
      <c r="D6" s="10">
        <v>2.7716544E7</v>
      </c>
      <c r="E6" s="7">
        <v>1.0</v>
      </c>
      <c r="F6" s="11">
        <v>1.0</v>
      </c>
      <c r="G6" s="12">
        <f t="shared" si="1"/>
        <v>0</v>
      </c>
      <c r="H6" s="13">
        <v>45911.0</v>
      </c>
      <c r="I6" s="14" t="s">
        <v>517</v>
      </c>
      <c r="J6" s="13">
        <v>45913.0</v>
      </c>
      <c r="K6" s="7" t="s">
        <v>283</v>
      </c>
      <c r="L6" s="9"/>
    </row>
    <row r="7">
      <c r="A7" s="7">
        <v>5.0</v>
      </c>
      <c r="B7" s="8">
        <v>9.08402208E8</v>
      </c>
      <c r="C7" s="20" t="s">
        <v>111</v>
      </c>
      <c r="D7" s="10">
        <v>2.7716544E7</v>
      </c>
      <c r="E7" s="7">
        <v>5.0</v>
      </c>
      <c r="F7" s="11">
        <v>5.0</v>
      </c>
      <c r="G7" s="12">
        <f t="shared" si="1"/>
        <v>0</v>
      </c>
      <c r="H7" s="13">
        <v>45911.0</v>
      </c>
      <c r="I7" s="14" t="s">
        <v>517</v>
      </c>
      <c r="J7" s="13">
        <v>45913.0</v>
      </c>
      <c r="K7" s="7" t="s">
        <v>283</v>
      </c>
      <c r="L7" s="9"/>
    </row>
    <row r="8">
      <c r="A8" s="7">
        <v>6.0</v>
      </c>
      <c r="B8" s="8">
        <v>9.08371013E8</v>
      </c>
      <c r="C8" s="20" t="s">
        <v>150</v>
      </c>
      <c r="D8" s="10">
        <v>2.7716544E7</v>
      </c>
      <c r="E8" s="7">
        <v>5.0</v>
      </c>
      <c r="F8" s="11">
        <v>5.0</v>
      </c>
      <c r="G8" s="12">
        <f t="shared" si="1"/>
        <v>0</v>
      </c>
      <c r="H8" s="13">
        <v>45911.0</v>
      </c>
      <c r="I8" s="14" t="s">
        <v>517</v>
      </c>
      <c r="J8" s="13">
        <v>45913.0</v>
      </c>
      <c r="K8" s="7" t="s">
        <v>283</v>
      </c>
      <c r="L8" s="9"/>
    </row>
    <row r="9">
      <c r="A9" s="7">
        <v>7.0</v>
      </c>
      <c r="B9" s="8">
        <v>9.0820203E8</v>
      </c>
      <c r="C9" s="20" t="s">
        <v>19</v>
      </c>
      <c r="D9" s="10">
        <v>2.7716544E7</v>
      </c>
      <c r="E9" s="7">
        <v>25.0</v>
      </c>
      <c r="F9" s="11"/>
      <c r="G9" s="12">
        <f t="shared" si="1"/>
        <v>25</v>
      </c>
      <c r="H9" s="13">
        <v>45911.0</v>
      </c>
      <c r="I9" s="14" t="s">
        <v>517</v>
      </c>
      <c r="J9" s="13"/>
      <c r="K9" s="7"/>
      <c r="L9" s="9"/>
    </row>
    <row r="10">
      <c r="A10" s="7">
        <v>8.0</v>
      </c>
      <c r="B10" s="8">
        <v>9.08122003E8</v>
      </c>
      <c r="C10" s="20" t="s">
        <v>368</v>
      </c>
      <c r="D10" s="10">
        <v>2.7716544E7</v>
      </c>
      <c r="E10" s="7">
        <v>16.0</v>
      </c>
      <c r="F10" s="11">
        <v>6.0</v>
      </c>
      <c r="G10" s="12">
        <f t="shared" si="1"/>
        <v>10</v>
      </c>
      <c r="H10" s="13">
        <v>45911.0</v>
      </c>
      <c r="I10" s="14" t="s">
        <v>517</v>
      </c>
      <c r="J10" s="13"/>
      <c r="K10" s="7"/>
      <c r="L10" s="9"/>
    </row>
    <row r="11">
      <c r="A11" s="7">
        <v>9.0</v>
      </c>
      <c r="B11" s="8">
        <v>9.08111101E8</v>
      </c>
      <c r="C11" s="20" t="s">
        <v>24</v>
      </c>
      <c r="D11" s="10">
        <v>2.7716544E7</v>
      </c>
      <c r="E11" s="7">
        <v>8.0</v>
      </c>
      <c r="F11" s="11">
        <v>6.0</v>
      </c>
      <c r="G11" s="12">
        <f t="shared" si="1"/>
        <v>2</v>
      </c>
      <c r="H11" s="13">
        <v>45911.0</v>
      </c>
      <c r="I11" s="14" t="s">
        <v>517</v>
      </c>
      <c r="J11" s="13">
        <v>45913.0</v>
      </c>
      <c r="K11" s="7" t="s">
        <v>283</v>
      </c>
      <c r="L11" s="9"/>
    </row>
    <row r="12">
      <c r="A12" s="7">
        <v>10.0</v>
      </c>
      <c r="B12" s="8">
        <v>9.0812201E8</v>
      </c>
      <c r="C12" s="20" t="s">
        <v>80</v>
      </c>
      <c r="D12" s="10">
        <v>2.7716544E7</v>
      </c>
      <c r="E12" s="7">
        <v>16.0</v>
      </c>
      <c r="F12" s="11"/>
      <c r="G12" s="12">
        <f t="shared" si="1"/>
        <v>16</v>
      </c>
      <c r="H12" s="13">
        <v>45914.0</v>
      </c>
      <c r="I12" s="14" t="s">
        <v>517</v>
      </c>
      <c r="J12" s="13"/>
      <c r="K12" s="7"/>
      <c r="L12" s="9"/>
    </row>
    <row r="13">
      <c r="A13" s="7">
        <v>11.0</v>
      </c>
      <c r="B13" s="8">
        <v>9.08202189E8</v>
      </c>
      <c r="C13" s="20" t="s">
        <v>55</v>
      </c>
      <c r="D13" s="10">
        <v>2.7716544E7</v>
      </c>
      <c r="E13" s="7">
        <v>2.0</v>
      </c>
      <c r="F13" s="11">
        <v>3.0</v>
      </c>
      <c r="G13" s="12">
        <f t="shared" si="1"/>
        <v>-1</v>
      </c>
      <c r="H13" s="13">
        <v>45914.0</v>
      </c>
      <c r="I13" s="14" t="s">
        <v>517</v>
      </c>
      <c r="J13" s="13">
        <v>45913.0</v>
      </c>
      <c r="K13" s="7" t="s">
        <v>283</v>
      </c>
      <c r="L13" s="9"/>
    </row>
    <row r="14">
      <c r="A14" s="7">
        <v>12.0</v>
      </c>
      <c r="B14" s="19" t="s">
        <v>20</v>
      </c>
      <c r="C14" s="20" t="s">
        <v>21</v>
      </c>
      <c r="D14" s="10">
        <v>2.7716544E7</v>
      </c>
      <c r="E14" s="7">
        <v>2.0</v>
      </c>
      <c r="F14" s="11">
        <v>2.0</v>
      </c>
      <c r="G14" s="12">
        <f t="shared" si="1"/>
        <v>0</v>
      </c>
      <c r="H14" s="13">
        <v>45911.0</v>
      </c>
      <c r="I14" s="14" t="s">
        <v>517</v>
      </c>
      <c r="J14" s="13">
        <v>45913.0</v>
      </c>
      <c r="K14" s="7" t="s">
        <v>283</v>
      </c>
      <c r="L14" s="9"/>
    </row>
    <row r="15">
      <c r="A15" s="7">
        <v>13.0</v>
      </c>
      <c r="B15" s="19">
        <v>9.08020201E8</v>
      </c>
      <c r="C15" s="20" t="s">
        <v>13</v>
      </c>
      <c r="D15" s="10">
        <v>2.7716544E7</v>
      </c>
      <c r="E15" s="7">
        <v>1.0</v>
      </c>
      <c r="F15" s="11"/>
      <c r="G15" s="12">
        <f t="shared" si="1"/>
        <v>1</v>
      </c>
      <c r="H15" s="13">
        <v>45914.0</v>
      </c>
      <c r="I15" s="14" t="s">
        <v>517</v>
      </c>
      <c r="J15" s="13"/>
      <c r="K15" s="7"/>
      <c r="L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2.7304386E7</v>
      </c>
      <c r="E3" s="7">
        <v>2.0</v>
      </c>
      <c r="F3" s="11">
        <v>2.0</v>
      </c>
      <c r="G3" s="12">
        <f t="shared" ref="G3:G15" si="1">E3-F3</f>
        <v>0</v>
      </c>
      <c r="H3" s="13">
        <v>45827.0</v>
      </c>
      <c r="I3" s="14" t="s">
        <v>517</v>
      </c>
      <c r="J3" s="13">
        <v>45838.0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25</v>
      </c>
      <c r="C4" s="9" t="s">
        <v>26</v>
      </c>
      <c r="D4" s="10">
        <v>2.7304386E7</v>
      </c>
      <c r="E4" s="7">
        <v>23.0</v>
      </c>
      <c r="F4" s="11">
        <v>23.0</v>
      </c>
      <c r="G4" s="12">
        <f t="shared" si="1"/>
        <v>0</v>
      </c>
      <c r="H4" s="13">
        <v>45833.0</v>
      </c>
      <c r="I4" s="14" t="s">
        <v>517</v>
      </c>
      <c r="J4" s="13">
        <v>45834.0</v>
      </c>
      <c r="K4" s="7" t="s">
        <v>283</v>
      </c>
      <c r="L4" s="9"/>
    </row>
    <row r="5">
      <c r="A5" s="7">
        <v>3.0</v>
      </c>
      <c r="B5" s="8">
        <v>9.08421003E8</v>
      </c>
      <c r="C5" s="9" t="s">
        <v>386</v>
      </c>
      <c r="D5" s="10">
        <v>2.758797E7</v>
      </c>
      <c r="E5" s="7">
        <v>1.0</v>
      </c>
      <c r="F5" s="11">
        <v>1.0</v>
      </c>
      <c r="G5" s="12">
        <f t="shared" si="1"/>
        <v>0</v>
      </c>
      <c r="H5" s="13">
        <v>45887.0</v>
      </c>
      <c r="I5" s="14" t="s">
        <v>517</v>
      </c>
      <c r="J5" s="13">
        <v>45889.0</v>
      </c>
      <c r="K5" s="7" t="s">
        <v>283</v>
      </c>
      <c r="L5" s="9"/>
    </row>
    <row r="6">
      <c r="A6" s="7">
        <v>4.0</v>
      </c>
      <c r="B6" s="8">
        <v>9.08402208E8</v>
      </c>
      <c r="C6" s="9" t="s">
        <v>111</v>
      </c>
      <c r="D6" s="10">
        <v>2.758797E7</v>
      </c>
      <c r="E6" s="7">
        <v>5.0</v>
      </c>
      <c r="F6" s="11">
        <v>5.0</v>
      </c>
      <c r="G6" s="12">
        <f t="shared" si="1"/>
        <v>0</v>
      </c>
      <c r="H6" s="13">
        <v>45887.0</v>
      </c>
      <c r="I6" s="14" t="s">
        <v>517</v>
      </c>
      <c r="J6" s="13">
        <v>45889.0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10">
        <v>2.758797E7</v>
      </c>
      <c r="E7" s="7">
        <v>25.0</v>
      </c>
      <c r="F7" s="11">
        <v>5.0</v>
      </c>
      <c r="G7" s="12">
        <f t="shared" si="1"/>
        <v>20</v>
      </c>
      <c r="H7" s="13">
        <v>45887.0</v>
      </c>
      <c r="I7" s="14" t="s">
        <v>517</v>
      </c>
      <c r="J7" s="13">
        <v>45889.0</v>
      </c>
      <c r="K7" s="7" t="s">
        <v>283</v>
      </c>
      <c r="L7" s="9"/>
    </row>
    <row r="8">
      <c r="A8" s="7">
        <v>6.0</v>
      </c>
      <c r="B8" s="8">
        <v>9.08122003E8</v>
      </c>
      <c r="C8" s="9" t="s">
        <v>368</v>
      </c>
      <c r="D8" s="10">
        <v>2.758797E7</v>
      </c>
      <c r="E8" s="7">
        <v>16.0</v>
      </c>
      <c r="F8" s="11">
        <v>10.0</v>
      </c>
      <c r="G8" s="12">
        <f t="shared" si="1"/>
        <v>6</v>
      </c>
      <c r="H8" s="13">
        <v>45887.0</v>
      </c>
      <c r="I8" s="14" t="s">
        <v>517</v>
      </c>
      <c r="J8" s="13">
        <v>45889.0</v>
      </c>
      <c r="K8" s="7" t="s">
        <v>283</v>
      </c>
      <c r="L8" s="9"/>
    </row>
    <row r="9">
      <c r="A9" s="7">
        <v>7.0</v>
      </c>
      <c r="B9" s="8">
        <v>9.08111101E8</v>
      </c>
      <c r="C9" s="9" t="s">
        <v>24</v>
      </c>
      <c r="D9" s="10">
        <v>2.758797E7</v>
      </c>
      <c r="E9" s="7"/>
      <c r="F9" s="11"/>
      <c r="G9" s="12">
        <f t="shared" si="1"/>
        <v>0</v>
      </c>
      <c r="H9" s="13"/>
      <c r="I9" s="14"/>
      <c r="J9" s="13"/>
      <c r="K9" s="7"/>
      <c r="L9" s="9"/>
    </row>
    <row r="10">
      <c r="A10" s="7">
        <v>8.0</v>
      </c>
      <c r="B10" s="8">
        <v>9.08202189E8</v>
      </c>
      <c r="C10" s="9" t="s">
        <v>55</v>
      </c>
      <c r="D10" s="10">
        <v>2.758797E7</v>
      </c>
      <c r="E10" s="7">
        <v>2.0</v>
      </c>
      <c r="F10" s="11">
        <v>6.0</v>
      </c>
      <c r="G10" s="12">
        <f t="shared" si="1"/>
        <v>-4</v>
      </c>
      <c r="H10" s="13">
        <v>45887.0</v>
      </c>
      <c r="I10" s="14" t="s">
        <v>517</v>
      </c>
      <c r="J10" s="13">
        <v>45889.0</v>
      </c>
      <c r="K10" s="7" t="s">
        <v>283</v>
      </c>
      <c r="L10" s="9"/>
    </row>
    <row r="11">
      <c r="A11" s="7">
        <v>9.0</v>
      </c>
      <c r="B11" s="8" t="s">
        <v>20</v>
      </c>
      <c r="C11" s="9" t="s">
        <v>21</v>
      </c>
      <c r="D11" s="10">
        <v>2.758797E7</v>
      </c>
      <c r="E11" s="7">
        <v>2.0</v>
      </c>
      <c r="F11" s="11">
        <v>2.0</v>
      </c>
      <c r="G11" s="12">
        <f t="shared" si="1"/>
        <v>0</v>
      </c>
      <c r="H11" s="13">
        <v>45887.0</v>
      </c>
      <c r="I11" s="14" t="s">
        <v>517</v>
      </c>
      <c r="J11" s="13">
        <v>45889.0</v>
      </c>
      <c r="K11" s="7" t="s">
        <v>283</v>
      </c>
      <c r="L11" s="9"/>
    </row>
    <row r="12">
      <c r="A12" s="7">
        <v>10.0</v>
      </c>
      <c r="B12" s="8">
        <v>9.08020201E8</v>
      </c>
      <c r="C12" s="9" t="s">
        <v>13</v>
      </c>
      <c r="D12" s="10">
        <v>2.758797E7</v>
      </c>
      <c r="E12" s="7">
        <v>1.0</v>
      </c>
      <c r="F12" s="11"/>
      <c r="G12" s="12">
        <f t="shared" si="1"/>
        <v>1</v>
      </c>
      <c r="H12" s="13">
        <v>45887.0</v>
      </c>
      <c r="I12" s="14" t="s">
        <v>517</v>
      </c>
      <c r="J12" s="13">
        <v>45889.0</v>
      </c>
      <c r="K12" s="7" t="s">
        <v>283</v>
      </c>
      <c r="L12" s="9"/>
    </row>
    <row r="13">
      <c r="A13" s="7">
        <v>11.0</v>
      </c>
      <c r="B13" s="8">
        <v>9.08371012E8</v>
      </c>
      <c r="C13" s="9" t="s">
        <v>150</v>
      </c>
      <c r="D13" s="10">
        <v>2.758797E7</v>
      </c>
      <c r="E13" s="7">
        <v>5.0</v>
      </c>
      <c r="F13" s="11">
        <v>5.0</v>
      </c>
      <c r="G13" s="12">
        <f t="shared" si="1"/>
        <v>0</v>
      </c>
      <c r="H13" s="13">
        <v>45887.0</v>
      </c>
      <c r="I13" s="14" t="s">
        <v>517</v>
      </c>
      <c r="J13" s="13">
        <v>45889.0</v>
      </c>
      <c r="K13" s="7" t="s">
        <v>283</v>
      </c>
      <c r="L13" s="9"/>
    </row>
    <row r="14">
      <c r="A14" s="7">
        <v>12.0</v>
      </c>
      <c r="B14" s="8">
        <v>9.08421025E8</v>
      </c>
      <c r="C14" s="20" t="s">
        <v>112</v>
      </c>
      <c r="D14" s="10">
        <v>2.758797E7</v>
      </c>
      <c r="E14" s="7">
        <v>1.0</v>
      </c>
      <c r="F14" s="11">
        <v>1.0</v>
      </c>
      <c r="G14" s="12">
        <f t="shared" si="1"/>
        <v>0</v>
      </c>
      <c r="H14" s="13">
        <v>45887.0</v>
      </c>
      <c r="I14" s="14" t="s">
        <v>517</v>
      </c>
      <c r="J14" s="13">
        <v>45889.0</v>
      </c>
      <c r="K14" s="7" t="s">
        <v>283</v>
      </c>
      <c r="L14" s="9"/>
    </row>
    <row r="15">
      <c r="A15" s="7">
        <v>13.0</v>
      </c>
      <c r="B15" s="8">
        <v>9.0812201E8</v>
      </c>
      <c r="C15" s="9" t="s">
        <v>80</v>
      </c>
      <c r="D15" s="10">
        <v>2.758797E7</v>
      </c>
      <c r="E15" s="7">
        <v>16.0</v>
      </c>
      <c r="F15" s="11">
        <v>16.0</v>
      </c>
      <c r="G15" s="12">
        <f t="shared" si="1"/>
        <v>0</v>
      </c>
      <c r="H15" s="13">
        <v>45887.0</v>
      </c>
      <c r="I15" s="14" t="s">
        <v>517</v>
      </c>
      <c r="J15" s="13">
        <v>45889.0</v>
      </c>
      <c r="K15" s="7" t="s">
        <v>283</v>
      </c>
      <c r="L15" s="9"/>
    </row>
    <row r="16">
      <c r="A16" s="7"/>
      <c r="B16" s="8"/>
      <c r="C16" s="9"/>
      <c r="D16" s="10"/>
      <c r="E16" s="7"/>
      <c r="F16" s="11"/>
      <c r="G16" s="12"/>
      <c r="H16" s="13"/>
      <c r="I16" s="14"/>
      <c r="J16" s="13"/>
      <c r="K16" s="7"/>
      <c r="L16" s="9"/>
    </row>
    <row r="17">
      <c r="A17" s="7"/>
      <c r="B17" s="8"/>
      <c r="C17" s="9"/>
      <c r="D17" s="10"/>
      <c r="E17" s="7"/>
      <c r="F17" s="11"/>
      <c r="G17" s="12"/>
      <c r="H17" s="13"/>
      <c r="I17" s="14"/>
      <c r="J17" s="13"/>
      <c r="K17" s="7"/>
      <c r="L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9.08402207E8</v>
      </c>
      <c r="C3" s="9" t="s">
        <v>377</v>
      </c>
      <c r="D3" s="10">
        <v>2.7276659E7</v>
      </c>
      <c r="E3" s="7">
        <v>1.0</v>
      </c>
      <c r="F3" s="11"/>
      <c r="G3" s="12">
        <v>1.0</v>
      </c>
      <c r="H3" s="13">
        <v>45827.0</v>
      </c>
      <c r="I3" s="14" t="s">
        <v>517</v>
      </c>
      <c r="J3" s="13"/>
      <c r="K3" s="7"/>
      <c r="L3" s="9"/>
    </row>
    <row r="4">
      <c r="A4" s="7">
        <v>2.0</v>
      </c>
      <c r="B4" s="8">
        <v>9.08402207E8</v>
      </c>
      <c r="C4" s="9" t="s">
        <v>545</v>
      </c>
      <c r="D4" s="10">
        <v>2.7276659E7</v>
      </c>
      <c r="E4" s="7">
        <v>1.0</v>
      </c>
      <c r="F4" s="11"/>
      <c r="G4" s="12">
        <v>1.0</v>
      </c>
      <c r="H4" s="13">
        <v>45827.0</v>
      </c>
      <c r="I4" s="14" t="s">
        <v>517</v>
      </c>
      <c r="J4" s="13"/>
      <c r="K4" s="7"/>
      <c r="L4" s="9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9.08121009E8</v>
      </c>
      <c r="C3" s="9" t="s">
        <v>444</v>
      </c>
      <c r="D3" s="10">
        <v>2.7288738E7</v>
      </c>
      <c r="E3" s="7">
        <v>1.0</v>
      </c>
      <c r="F3" s="11">
        <v>1.0</v>
      </c>
      <c r="G3" s="12">
        <f t="shared" ref="G3:G10" si="1">E3-F3</f>
        <v>0</v>
      </c>
      <c r="H3" s="13">
        <v>45827.0</v>
      </c>
      <c r="I3" s="14" t="s">
        <v>517</v>
      </c>
      <c r="J3" s="13">
        <v>45831.0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445</v>
      </c>
      <c r="C4" s="9" t="s">
        <v>446</v>
      </c>
      <c r="D4" s="10">
        <v>2.7288738E7</v>
      </c>
      <c r="E4" s="7">
        <v>4.0</v>
      </c>
      <c r="F4" s="11">
        <v>4.0</v>
      </c>
      <c r="G4" s="12">
        <f t="shared" si="1"/>
        <v>0</v>
      </c>
      <c r="H4" s="13">
        <v>45827.0</v>
      </c>
      <c r="I4" s="14" t="s">
        <v>517</v>
      </c>
      <c r="J4" s="13">
        <v>45831.0</v>
      </c>
      <c r="K4" s="7" t="s">
        <v>283</v>
      </c>
      <c r="L4" s="9"/>
    </row>
    <row r="5">
      <c r="A5" s="7">
        <v>3.0</v>
      </c>
      <c r="B5" s="8">
        <v>9.08122035E8</v>
      </c>
      <c r="C5" s="29" t="s">
        <v>235</v>
      </c>
      <c r="D5" s="10">
        <v>2.7288738E7</v>
      </c>
      <c r="E5" s="7">
        <v>4.0</v>
      </c>
      <c r="F5" s="11">
        <v>4.0</v>
      </c>
      <c r="G5" s="12">
        <f t="shared" si="1"/>
        <v>0</v>
      </c>
      <c r="H5" s="13">
        <v>45827.0</v>
      </c>
      <c r="I5" s="14" t="s">
        <v>517</v>
      </c>
      <c r="J5" s="13">
        <v>45831.0</v>
      </c>
      <c r="K5" s="7" t="s">
        <v>283</v>
      </c>
      <c r="L5" s="9"/>
    </row>
    <row r="6">
      <c r="A6" s="7">
        <v>4.0</v>
      </c>
      <c r="B6" s="19" t="s">
        <v>20</v>
      </c>
      <c r="C6" s="20" t="s">
        <v>21</v>
      </c>
      <c r="D6" s="10">
        <v>2.7288738E7</v>
      </c>
      <c r="E6" s="7">
        <v>1.0</v>
      </c>
      <c r="F6" s="11">
        <v>1.0</v>
      </c>
      <c r="G6" s="12">
        <f t="shared" si="1"/>
        <v>0</v>
      </c>
      <c r="H6" s="13">
        <v>45827.0</v>
      </c>
      <c r="I6" s="14" t="s">
        <v>517</v>
      </c>
      <c r="J6" s="13">
        <v>45831.0</v>
      </c>
      <c r="K6" s="7" t="s">
        <v>283</v>
      </c>
      <c r="L6" s="9"/>
    </row>
    <row r="7">
      <c r="A7" s="7">
        <v>5.0</v>
      </c>
      <c r="B7" s="8">
        <v>9.08202189E8</v>
      </c>
      <c r="C7" s="9" t="s">
        <v>423</v>
      </c>
      <c r="D7" s="10">
        <v>2.7288738E7</v>
      </c>
      <c r="E7" s="7">
        <v>1.0</v>
      </c>
      <c r="F7" s="11">
        <v>1.0</v>
      </c>
      <c r="G7" s="12">
        <f t="shared" si="1"/>
        <v>0</v>
      </c>
      <c r="H7" s="13">
        <v>45827.0</v>
      </c>
      <c r="I7" s="14" t="s">
        <v>517</v>
      </c>
      <c r="J7" s="13">
        <v>45831.0</v>
      </c>
      <c r="K7" s="7" t="s">
        <v>283</v>
      </c>
      <c r="L7" s="9"/>
    </row>
    <row r="8">
      <c r="A8" s="7">
        <v>6.0</v>
      </c>
      <c r="B8" s="8">
        <v>9.0820203E8</v>
      </c>
      <c r="C8" s="9" t="s">
        <v>19</v>
      </c>
      <c r="D8" s="10">
        <v>2.7288738E7</v>
      </c>
      <c r="E8" s="7">
        <v>1.0</v>
      </c>
      <c r="F8" s="11">
        <v>1.0</v>
      </c>
      <c r="G8" s="12">
        <f t="shared" si="1"/>
        <v>0</v>
      </c>
      <c r="H8" s="13">
        <v>45827.0</v>
      </c>
      <c r="I8" s="14" t="s">
        <v>517</v>
      </c>
      <c r="J8" s="13">
        <v>45831.0</v>
      </c>
      <c r="K8" s="7" t="s">
        <v>283</v>
      </c>
      <c r="L8" s="9"/>
    </row>
    <row r="9">
      <c r="A9" s="7">
        <v>7.0</v>
      </c>
      <c r="B9" s="8">
        <v>9.08111006E8</v>
      </c>
      <c r="C9" s="9" t="s">
        <v>71</v>
      </c>
      <c r="D9" s="10">
        <v>2.7288738E7</v>
      </c>
      <c r="E9" s="7">
        <v>22.0</v>
      </c>
      <c r="F9" s="11">
        <v>22.0</v>
      </c>
      <c r="G9" s="12">
        <f t="shared" si="1"/>
        <v>0</v>
      </c>
      <c r="H9" s="13">
        <v>45827.0</v>
      </c>
      <c r="I9" s="14" t="s">
        <v>517</v>
      </c>
      <c r="J9" s="13">
        <v>45831.0</v>
      </c>
      <c r="K9" s="7" t="s">
        <v>283</v>
      </c>
      <c r="L9" s="9"/>
    </row>
    <row r="10">
      <c r="A10" s="7">
        <v>8.0</v>
      </c>
      <c r="B10" s="8">
        <v>9.08111101E8</v>
      </c>
      <c r="C10" s="9" t="s">
        <v>24</v>
      </c>
      <c r="D10" s="10">
        <v>2.7288738E7</v>
      </c>
      <c r="E10" s="7">
        <v>2.0</v>
      </c>
      <c r="F10" s="11">
        <v>6.0</v>
      </c>
      <c r="G10" s="12">
        <f t="shared" si="1"/>
        <v>-4</v>
      </c>
      <c r="H10" s="13">
        <v>45827.0</v>
      </c>
      <c r="I10" s="14" t="s">
        <v>517</v>
      </c>
      <c r="J10" s="13">
        <v>45831.0</v>
      </c>
      <c r="K10" s="7" t="s">
        <v>283</v>
      </c>
      <c r="L1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9.08121009E8</v>
      </c>
      <c r="C3" s="9" t="s">
        <v>444</v>
      </c>
      <c r="D3" s="10">
        <v>2.7288684E7</v>
      </c>
      <c r="E3" s="7">
        <v>1.0</v>
      </c>
      <c r="F3" s="11"/>
      <c r="G3" s="12">
        <f t="shared" ref="G3:G12" si="1">E3-F3</f>
        <v>1</v>
      </c>
      <c r="H3" s="13">
        <v>45827.0</v>
      </c>
      <c r="I3" s="14" t="s">
        <v>517</v>
      </c>
      <c r="J3" s="13"/>
      <c r="K3" s="7"/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445</v>
      </c>
      <c r="C4" s="9" t="s">
        <v>446</v>
      </c>
      <c r="D4" s="10">
        <v>2.7288684E7</v>
      </c>
      <c r="E4" s="7">
        <v>4.0</v>
      </c>
      <c r="F4" s="11">
        <v>4.0</v>
      </c>
      <c r="G4" s="12">
        <f t="shared" si="1"/>
        <v>0</v>
      </c>
      <c r="H4" s="13">
        <v>45827.0</v>
      </c>
      <c r="I4" s="14" t="s">
        <v>517</v>
      </c>
      <c r="J4" s="13">
        <v>45848.0</v>
      </c>
      <c r="K4" s="7" t="s">
        <v>283</v>
      </c>
      <c r="L4" s="9"/>
    </row>
    <row r="5">
      <c r="A5" s="7">
        <v>3.0</v>
      </c>
      <c r="B5" s="8">
        <v>9.08122037E8</v>
      </c>
      <c r="C5" s="9" t="s">
        <v>460</v>
      </c>
      <c r="D5" s="10">
        <v>2.7288684E7</v>
      </c>
      <c r="E5" s="7">
        <v>4.0</v>
      </c>
      <c r="F5" s="11">
        <v>4.0</v>
      </c>
      <c r="G5" s="12">
        <f t="shared" si="1"/>
        <v>0</v>
      </c>
      <c r="H5" s="13">
        <v>45827.0</v>
      </c>
      <c r="I5" s="14" t="s">
        <v>517</v>
      </c>
      <c r="J5" s="13">
        <v>45848.0</v>
      </c>
      <c r="K5" s="7" t="s">
        <v>283</v>
      </c>
      <c r="L5" s="9"/>
    </row>
    <row r="6">
      <c r="A6" s="7">
        <v>4.0</v>
      </c>
      <c r="B6" s="19" t="s">
        <v>20</v>
      </c>
      <c r="C6" s="20" t="s">
        <v>21</v>
      </c>
      <c r="D6" s="10">
        <v>2.7288684E7</v>
      </c>
      <c r="E6" s="7">
        <v>1.0</v>
      </c>
      <c r="F6" s="11">
        <v>1.0</v>
      </c>
      <c r="G6" s="12">
        <f t="shared" si="1"/>
        <v>0</v>
      </c>
      <c r="H6" s="13">
        <v>45827.0</v>
      </c>
      <c r="I6" s="14" t="s">
        <v>517</v>
      </c>
      <c r="J6" s="13">
        <v>45848.0</v>
      </c>
      <c r="K6" s="7" t="s">
        <v>283</v>
      </c>
      <c r="L6" s="9"/>
    </row>
    <row r="7">
      <c r="A7" s="7">
        <v>5.0</v>
      </c>
      <c r="B7" s="8">
        <v>9.08202189E8</v>
      </c>
      <c r="C7" s="9" t="s">
        <v>423</v>
      </c>
      <c r="D7" s="10">
        <v>2.7288684E7</v>
      </c>
      <c r="E7" s="7">
        <v>1.0</v>
      </c>
      <c r="F7" s="11">
        <v>1.0</v>
      </c>
      <c r="G7" s="12">
        <f t="shared" si="1"/>
        <v>0</v>
      </c>
      <c r="H7" s="13">
        <v>45827.0</v>
      </c>
      <c r="I7" s="14" t="s">
        <v>517</v>
      </c>
      <c r="J7" s="13">
        <v>45848.0</v>
      </c>
      <c r="K7" s="7" t="s">
        <v>283</v>
      </c>
      <c r="L7" s="9"/>
    </row>
    <row r="8">
      <c r="A8" s="7">
        <v>6.0</v>
      </c>
      <c r="B8" s="102">
        <v>9.08402206E8</v>
      </c>
      <c r="C8" s="103" t="s">
        <v>234</v>
      </c>
      <c r="D8" s="10">
        <v>2.7288684E7</v>
      </c>
      <c r="E8" s="7">
        <v>1.0</v>
      </c>
      <c r="F8" s="11">
        <v>1.0</v>
      </c>
      <c r="G8" s="12">
        <f t="shared" si="1"/>
        <v>0</v>
      </c>
      <c r="H8" s="13">
        <v>45827.0</v>
      </c>
      <c r="I8" s="14" t="s">
        <v>517</v>
      </c>
      <c r="J8" s="13">
        <v>45848.0</v>
      </c>
      <c r="K8" s="7" t="s">
        <v>283</v>
      </c>
      <c r="L8" s="9"/>
    </row>
    <row r="9">
      <c r="A9" s="7">
        <v>7.0</v>
      </c>
      <c r="B9" s="8">
        <v>9.08421005E8</v>
      </c>
      <c r="C9" s="29" t="s">
        <v>315</v>
      </c>
      <c r="D9" s="10">
        <v>2.7288684E7</v>
      </c>
      <c r="E9" s="7">
        <v>1.0</v>
      </c>
      <c r="F9" s="11">
        <v>1.0</v>
      </c>
      <c r="G9" s="12">
        <f t="shared" si="1"/>
        <v>0</v>
      </c>
      <c r="H9" s="13">
        <v>45827.0</v>
      </c>
      <c r="I9" s="14" t="s">
        <v>517</v>
      </c>
      <c r="J9" s="13">
        <v>45848.0</v>
      </c>
      <c r="K9" s="7" t="s">
        <v>283</v>
      </c>
      <c r="L9" s="9"/>
    </row>
    <row r="10">
      <c r="A10" s="7">
        <v>8.0</v>
      </c>
      <c r="B10" s="8">
        <v>9.08501111E8</v>
      </c>
      <c r="C10" s="9" t="s">
        <v>125</v>
      </c>
      <c r="D10" s="10">
        <v>2.7288684E7</v>
      </c>
      <c r="E10" s="7">
        <v>3.0</v>
      </c>
      <c r="F10" s="11">
        <v>6.0</v>
      </c>
      <c r="G10" s="12">
        <f t="shared" si="1"/>
        <v>-3</v>
      </c>
      <c r="H10" s="13">
        <v>45827.0</v>
      </c>
      <c r="I10" s="14" t="s">
        <v>517</v>
      </c>
      <c r="J10" s="13">
        <v>45848.0</v>
      </c>
      <c r="K10" s="7" t="s">
        <v>283</v>
      </c>
      <c r="L10" s="9"/>
    </row>
    <row r="11">
      <c r="A11" s="7">
        <v>9.0</v>
      </c>
      <c r="B11" s="8">
        <v>9.0820203E8</v>
      </c>
      <c r="C11" s="9" t="s">
        <v>19</v>
      </c>
      <c r="D11" s="10">
        <v>2.7288684E7</v>
      </c>
      <c r="E11" s="7">
        <v>2.0</v>
      </c>
      <c r="F11" s="11">
        <v>2.0</v>
      </c>
      <c r="G11" s="12">
        <f t="shared" si="1"/>
        <v>0</v>
      </c>
      <c r="H11" s="13">
        <v>45827.0</v>
      </c>
      <c r="I11" s="14" t="s">
        <v>517</v>
      </c>
      <c r="J11" s="13">
        <v>45848.0</v>
      </c>
      <c r="K11" s="7" t="s">
        <v>283</v>
      </c>
      <c r="L11" s="9"/>
    </row>
    <row r="12">
      <c r="A12" s="7">
        <v>10.0</v>
      </c>
      <c r="B12" s="8">
        <v>9.08111006E8</v>
      </c>
      <c r="C12" s="9" t="s">
        <v>71</v>
      </c>
      <c r="D12" s="10">
        <v>2.7288684E7</v>
      </c>
      <c r="E12" s="7">
        <v>6.0</v>
      </c>
      <c r="F12" s="11">
        <v>6.0</v>
      </c>
      <c r="G12" s="12">
        <f t="shared" si="1"/>
        <v>0</v>
      </c>
      <c r="H12" s="13">
        <v>45827.0</v>
      </c>
      <c r="I12" s="14" t="s">
        <v>517</v>
      </c>
      <c r="J12" s="13">
        <v>45848.0</v>
      </c>
      <c r="K12" s="7" t="s">
        <v>283</v>
      </c>
      <c r="L12" s="9"/>
    </row>
    <row r="13">
      <c r="A13" s="7">
        <v>11.0</v>
      </c>
      <c r="B13" s="8" t="s">
        <v>126</v>
      </c>
      <c r="C13" s="9" t="s">
        <v>127</v>
      </c>
      <c r="D13" s="10">
        <v>2.7288684E7</v>
      </c>
      <c r="E13" s="7">
        <v>1.0</v>
      </c>
      <c r="F13" s="11">
        <v>1.0</v>
      </c>
      <c r="G13" s="12">
        <v>1.0</v>
      </c>
      <c r="H13" s="13">
        <v>45844.0</v>
      </c>
      <c r="I13" s="14" t="s">
        <v>517</v>
      </c>
      <c r="J13" s="13">
        <v>45848.0</v>
      </c>
      <c r="K13" s="7" t="s">
        <v>283</v>
      </c>
      <c r="L13" s="9"/>
    </row>
    <row r="14">
      <c r="A14" s="7">
        <v>12.0</v>
      </c>
      <c r="B14" s="8">
        <v>9.08111101E8</v>
      </c>
      <c r="C14" s="9" t="s">
        <v>24</v>
      </c>
      <c r="D14" s="10"/>
      <c r="E14" s="7">
        <v>2.0</v>
      </c>
      <c r="F14" s="11">
        <v>2.0</v>
      </c>
      <c r="G14" s="12">
        <v>0.0</v>
      </c>
      <c r="H14" s="13">
        <v>45844.0</v>
      </c>
      <c r="I14" s="14" t="s">
        <v>517</v>
      </c>
      <c r="J14" s="13">
        <v>45848.0</v>
      </c>
      <c r="K14" s="7" t="s">
        <v>283</v>
      </c>
      <c r="L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2.7264864E7</v>
      </c>
      <c r="E3" s="7">
        <v>2.0</v>
      </c>
      <c r="F3" s="11">
        <v>2.0</v>
      </c>
      <c r="G3" s="12">
        <f t="shared" ref="G3:G15" si="1">E3-F3</f>
        <v>0</v>
      </c>
      <c r="H3" s="13">
        <v>45827.0</v>
      </c>
      <c r="I3" s="14" t="s">
        <v>517</v>
      </c>
      <c r="J3" s="13">
        <v>45826.0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2.7264864E7</v>
      </c>
      <c r="E4" s="7">
        <v>2.0</v>
      </c>
      <c r="F4" s="11">
        <v>2.0</v>
      </c>
      <c r="G4" s="12">
        <f t="shared" si="1"/>
        <v>0</v>
      </c>
      <c r="H4" s="13">
        <v>45827.0</v>
      </c>
      <c r="I4" s="14" t="s">
        <v>517</v>
      </c>
      <c r="J4" s="13">
        <v>45826.0</v>
      </c>
      <c r="K4" s="7" t="s">
        <v>283</v>
      </c>
      <c r="L4" s="9"/>
    </row>
    <row r="5">
      <c r="A5" s="7">
        <v>3.0</v>
      </c>
      <c r="B5" s="8">
        <v>9.08402207E8</v>
      </c>
      <c r="C5" s="9" t="s">
        <v>377</v>
      </c>
      <c r="D5" s="10">
        <v>2.7264864E7</v>
      </c>
      <c r="E5" s="7"/>
      <c r="F5" s="11">
        <v>1.0</v>
      </c>
      <c r="G5" s="12">
        <f t="shared" si="1"/>
        <v>-1</v>
      </c>
      <c r="H5" s="13"/>
      <c r="I5" s="14" t="s">
        <v>517</v>
      </c>
      <c r="J5" s="13">
        <v>45826.0</v>
      </c>
      <c r="K5" s="7" t="s">
        <v>283</v>
      </c>
      <c r="L5" s="9"/>
    </row>
    <row r="6">
      <c r="A6" s="7">
        <v>4.0</v>
      </c>
      <c r="B6" s="8">
        <v>9.08202098E8</v>
      </c>
      <c r="C6" s="9" t="s">
        <v>22</v>
      </c>
      <c r="D6" s="10">
        <v>2.7264864E7</v>
      </c>
      <c r="E6" s="7">
        <v>2.0</v>
      </c>
      <c r="F6" s="11">
        <v>2.0</v>
      </c>
      <c r="G6" s="12">
        <f t="shared" si="1"/>
        <v>0</v>
      </c>
      <c r="H6" s="13">
        <v>45827.0</v>
      </c>
      <c r="I6" s="14" t="s">
        <v>517</v>
      </c>
      <c r="J6" s="13">
        <v>45826.0</v>
      </c>
      <c r="K6" s="7" t="s">
        <v>283</v>
      </c>
      <c r="L6" s="9"/>
    </row>
    <row r="7">
      <c r="A7" s="7">
        <v>5.0</v>
      </c>
      <c r="B7" s="8">
        <v>9.08122011E8</v>
      </c>
      <c r="C7" s="9" t="s">
        <v>23</v>
      </c>
      <c r="D7" s="10">
        <v>2.7264864E7</v>
      </c>
      <c r="E7" s="7">
        <v>3.0</v>
      </c>
      <c r="F7" s="11">
        <v>3.0</v>
      </c>
      <c r="G7" s="12">
        <f t="shared" si="1"/>
        <v>0</v>
      </c>
      <c r="H7" s="13">
        <v>45827.0</v>
      </c>
      <c r="I7" s="14" t="s">
        <v>517</v>
      </c>
      <c r="J7" s="13">
        <v>45832.0</v>
      </c>
      <c r="K7" s="7" t="s">
        <v>283</v>
      </c>
      <c r="L7" s="9"/>
    </row>
    <row r="8">
      <c r="A8" s="7">
        <v>7.0</v>
      </c>
      <c r="B8" s="8">
        <v>9.0812101E8</v>
      </c>
      <c r="C8" s="9" t="s">
        <v>549</v>
      </c>
      <c r="D8" s="10">
        <v>2.7264864E7</v>
      </c>
      <c r="E8" s="7">
        <v>2.0</v>
      </c>
      <c r="F8" s="11">
        <f>1+1</f>
        <v>2</v>
      </c>
      <c r="G8" s="12">
        <f t="shared" si="1"/>
        <v>0</v>
      </c>
      <c r="H8" s="13">
        <v>45827.0</v>
      </c>
      <c r="I8" s="14" t="s">
        <v>517</v>
      </c>
      <c r="J8" s="13" t="s">
        <v>550</v>
      </c>
      <c r="K8" s="7" t="s">
        <v>283</v>
      </c>
      <c r="L8" s="9"/>
    </row>
    <row r="9">
      <c r="A9" s="7">
        <v>8.0</v>
      </c>
      <c r="B9" s="8">
        <v>9.08020201E8</v>
      </c>
      <c r="C9" s="9" t="s">
        <v>13</v>
      </c>
      <c r="D9" s="10">
        <v>2.7264864E7</v>
      </c>
      <c r="E9" s="7">
        <v>1.0</v>
      </c>
      <c r="F9" s="11"/>
      <c r="G9" s="12">
        <f t="shared" si="1"/>
        <v>1</v>
      </c>
      <c r="H9" s="13">
        <v>45827.0</v>
      </c>
      <c r="I9" s="14" t="s">
        <v>517</v>
      </c>
      <c r="J9" s="15"/>
      <c r="K9" s="7"/>
      <c r="L9" s="9"/>
    </row>
    <row r="10">
      <c r="A10" s="7">
        <v>9.0</v>
      </c>
      <c r="B10" s="8">
        <v>9.0820203E8</v>
      </c>
      <c r="C10" s="9" t="s">
        <v>19</v>
      </c>
      <c r="D10" s="10">
        <v>2.7264864E7</v>
      </c>
      <c r="E10" s="7">
        <v>2.0</v>
      </c>
      <c r="F10" s="11">
        <v>6.0</v>
      </c>
      <c r="G10" s="12">
        <f t="shared" si="1"/>
        <v>-4</v>
      </c>
      <c r="H10" s="13">
        <v>45827.0</v>
      </c>
      <c r="I10" s="14" t="s">
        <v>517</v>
      </c>
      <c r="J10" s="13">
        <v>45826.0</v>
      </c>
      <c r="K10" s="7" t="s">
        <v>283</v>
      </c>
      <c r="L10" s="9"/>
    </row>
    <row r="11">
      <c r="A11" s="7">
        <v>12.0</v>
      </c>
      <c r="B11" s="19" t="s">
        <v>103</v>
      </c>
      <c r="C11" s="20" t="s">
        <v>104</v>
      </c>
      <c r="D11" s="10">
        <v>2.7264864E7</v>
      </c>
      <c r="E11" s="7">
        <v>1.0</v>
      </c>
      <c r="F11" s="11">
        <v>1.0</v>
      </c>
      <c r="G11" s="12">
        <f t="shared" si="1"/>
        <v>0</v>
      </c>
      <c r="H11" s="13">
        <v>45827.0</v>
      </c>
      <c r="I11" s="14" t="s">
        <v>517</v>
      </c>
      <c r="J11" s="13">
        <v>45826.0</v>
      </c>
      <c r="K11" s="7" t="s">
        <v>283</v>
      </c>
      <c r="L11" s="9"/>
    </row>
    <row r="12">
      <c r="A12" s="7">
        <v>13.0</v>
      </c>
      <c r="B12" s="8" t="s">
        <v>25</v>
      </c>
      <c r="C12" s="9" t="s">
        <v>26</v>
      </c>
      <c r="D12" s="10">
        <v>2.7264864E7</v>
      </c>
      <c r="E12" s="7">
        <v>27.0</v>
      </c>
      <c r="F12" s="11">
        <v>37.0</v>
      </c>
      <c r="G12" s="12">
        <f t="shared" si="1"/>
        <v>-10</v>
      </c>
      <c r="H12" s="13">
        <v>45826.0</v>
      </c>
      <c r="I12" s="14" t="s">
        <v>517</v>
      </c>
      <c r="J12" s="13">
        <v>45825.0</v>
      </c>
      <c r="K12" s="7"/>
      <c r="L12" s="9"/>
    </row>
    <row r="13">
      <c r="A13" s="7">
        <v>14.0</v>
      </c>
      <c r="B13" s="8">
        <v>9.08111101E8</v>
      </c>
      <c r="C13" s="9" t="s">
        <v>24</v>
      </c>
      <c r="D13" s="10">
        <v>2.7264864E7</v>
      </c>
      <c r="E13" s="7">
        <v>6.0</v>
      </c>
      <c r="F13" s="11">
        <v>6.0</v>
      </c>
      <c r="G13" s="12">
        <f t="shared" si="1"/>
        <v>0</v>
      </c>
      <c r="H13" s="13">
        <v>45826.0</v>
      </c>
      <c r="I13" s="14" t="s">
        <v>517</v>
      </c>
      <c r="J13" s="13">
        <v>45826.0</v>
      </c>
      <c r="K13" s="7" t="s">
        <v>283</v>
      </c>
      <c r="L13" s="9"/>
    </row>
    <row r="14">
      <c r="A14" s="7">
        <v>15.0</v>
      </c>
      <c r="B14" s="8" t="s">
        <v>27</v>
      </c>
      <c r="C14" s="9" t="s">
        <v>28</v>
      </c>
      <c r="D14" s="10">
        <v>2.7264864E7</v>
      </c>
      <c r="E14" s="7">
        <v>125.0</v>
      </c>
      <c r="F14" s="11">
        <v>119.0</v>
      </c>
      <c r="G14" s="12">
        <f t="shared" si="1"/>
        <v>6</v>
      </c>
      <c r="H14" s="13">
        <v>45826.0</v>
      </c>
      <c r="I14" s="14" t="s">
        <v>517</v>
      </c>
      <c r="J14" s="13">
        <v>45825.0</v>
      </c>
      <c r="K14" s="7"/>
      <c r="L14" s="9"/>
    </row>
    <row r="15">
      <c r="A15" s="7">
        <v>16.0</v>
      </c>
      <c r="B15" s="8">
        <v>9.08370504E8</v>
      </c>
      <c r="C15" s="9" t="s">
        <v>525</v>
      </c>
      <c r="D15" s="10">
        <v>2.7264864E7</v>
      </c>
      <c r="E15" s="7"/>
      <c r="F15" s="11">
        <v>1.0</v>
      </c>
      <c r="G15" s="12">
        <f t="shared" si="1"/>
        <v>-1</v>
      </c>
      <c r="H15" s="13"/>
      <c r="I15" s="14" t="s">
        <v>517</v>
      </c>
      <c r="J15" s="13">
        <v>45826.0</v>
      </c>
      <c r="K15" s="7" t="s">
        <v>283</v>
      </c>
      <c r="L15" s="9"/>
    </row>
    <row r="16">
      <c r="A16" s="7">
        <v>17.0</v>
      </c>
      <c r="B16" s="8">
        <v>9.08111006E8</v>
      </c>
      <c r="C16" s="9" t="s">
        <v>71</v>
      </c>
      <c r="D16" s="10">
        <v>2.7264864E7</v>
      </c>
      <c r="E16" s="7">
        <v>6.0</v>
      </c>
      <c r="F16" s="11"/>
      <c r="G16" s="12">
        <v>6.0</v>
      </c>
      <c r="H16" s="13">
        <v>45826.0</v>
      </c>
      <c r="I16" s="14" t="s">
        <v>517</v>
      </c>
      <c r="J16" s="15"/>
      <c r="K16" s="7"/>
      <c r="L16" s="9"/>
    </row>
    <row r="17">
      <c r="A17" s="7">
        <v>18.0</v>
      </c>
      <c r="B17" s="8">
        <v>9.08111101E8</v>
      </c>
      <c r="C17" s="9" t="s">
        <v>24</v>
      </c>
      <c r="D17" s="10">
        <v>2.7264864E7</v>
      </c>
      <c r="E17" s="7">
        <v>3.0</v>
      </c>
      <c r="F17" s="11"/>
      <c r="G17" s="12">
        <v>3.0</v>
      </c>
      <c r="H17" s="13">
        <v>45826.0</v>
      </c>
      <c r="I17" s="14" t="s">
        <v>517</v>
      </c>
      <c r="J17" s="15"/>
      <c r="K17" s="7"/>
      <c r="L17" s="9"/>
    </row>
    <row r="18">
      <c r="A18" s="7">
        <v>19.0</v>
      </c>
      <c r="B18" s="8">
        <v>9.08421025E8</v>
      </c>
      <c r="C18" s="9" t="s">
        <v>112</v>
      </c>
      <c r="D18" s="10">
        <v>2.7468931E7</v>
      </c>
      <c r="E18" s="7">
        <v>2.0</v>
      </c>
      <c r="F18" s="11">
        <v>2.0</v>
      </c>
      <c r="G18" s="12">
        <f t="shared" ref="G18:G26" si="2">E18-F18</f>
        <v>0</v>
      </c>
      <c r="H18" s="13">
        <v>45865.0</v>
      </c>
      <c r="I18" s="14" t="s">
        <v>14</v>
      </c>
      <c r="J18" s="15">
        <v>45867.0</v>
      </c>
      <c r="K18" s="7" t="s">
        <v>283</v>
      </c>
      <c r="L18" s="9"/>
    </row>
    <row r="19">
      <c r="A19" s="7">
        <v>20.0</v>
      </c>
      <c r="B19" s="8">
        <v>9.08371014E8</v>
      </c>
      <c r="C19" s="9" t="s">
        <v>113</v>
      </c>
      <c r="D19" s="10">
        <v>2.7468931E7</v>
      </c>
      <c r="E19" s="7">
        <v>2.0</v>
      </c>
      <c r="F19" s="11">
        <v>2.0</v>
      </c>
      <c r="G19" s="12">
        <f t="shared" si="2"/>
        <v>0</v>
      </c>
      <c r="H19" s="13">
        <v>45866.0</v>
      </c>
      <c r="I19" s="14" t="s">
        <v>14</v>
      </c>
      <c r="J19" s="15">
        <v>45867.0</v>
      </c>
      <c r="K19" s="7" t="s">
        <v>283</v>
      </c>
      <c r="L19" s="9"/>
    </row>
    <row r="20">
      <c r="A20" s="7">
        <v>21.0</v>
      </c>
      <c r="B20" s="8">
        <v>9.0820203E8</v>
      </c>
      <c r="C20" s="9" t="s">
        <v>19</v>
      </c>
      <c r="D20" s="10">
        <v>2.7468931E7</v>
      </c>
      <c r="E20" s="7">
        <v>10.0</v>
      </c>
      <c r="F20" s="11">
        <v>2.0</v>
      </c>
      <c r="G20" s="12">
        <f t="shared" si="2"/>
        <v>8</v>
      </c>
      <c r="H20" s="13">
        <v>45865.0</v>
      </c>
      <c r="I20" s="14" t="s">
        <v>14</v>
      </c>
      <c r="J20" s="15">
        <v>45867.0</v>
      </c>
      <c r="K20" s="7" t="s">
        <v>283</v>
      </c>
      <c r="L20" s="9"/>
    </row>
    <row r="21" ht="15.75" customHeight="1">
      <c r="A21" s="7">
        <v>22.0</v>
      </c>
      <c r="B21" s="8">
        <v>9.08111101E8</v>
      </c>
      <c r="C21" s="9" t="s">
        <v>24</v>
      </c>
      <c r="D21" s="10">
        <v>2.7468931E7</v>
      </c>
      <c r="E21" s="7">
        <v>6.0</v>
      </c>
      <c r="F21" s="11">
        <v>4.0</v>
      </c>
      <c r="G21" s="12">
        <f t="shared" si="2"/>
        <v>2</v>
      </c>
      <c r="H21" s="13">
        <v>45865.0</v>
      </c>
      <c r="I21" s="14" t="s">
        <v>14</v>
      </c>
      <c r="J21" s="15"/>
      <c r="K21" s="7"/>
      <c r="L21" s="9"/>
    </row>
    <row r="22" ht="15.75" customHeight="1">
      <c r="A22" s="7">
        <v>23.0</v>
      </c>
      <c r="B22" s="8">
        <v>9.0812201E8</v>
      </c>
      <c r="C22" s="9" t="s">
        <v>80</v>
      </c>
      <c r="D22" s="10">
        <v>2.7468931E7</v>
      </c>
      <c r="E22" s="7">
        <v>8.0</v>
      </c>
      <c r="F22" s="11">
        <v>8.0</v>
      </c>
      <c r="G22" s="12">
        <f t="shared" si="2"/>
        <v>0</v>
      </c>
      <c r="H22" s="13">
        <v>45865.0</v>
      </c>
      <c r="I22" s="14" t="s">
        <v>14</v>
      </c>
      <c r="J22" s="15">
        <v>45867.0</v>
      </c>
      <c r="K22" s="7" t="s">
        <v>283</v>
      </c>
      <c r="L22" s="9"/>
    </row>
    <row r="23" ht="15.75" customHeight="1">
      <c r="A23" s="7">
        <v>24.0</v>
      </c>
      <c r="B23" s="8">
        <v>9.08402208E8</v>
      </c>
      <c r="C23" s="8" t="s">
        <v>111</v>
      </c>
      <c r="D23" s="10">
        <v>2.7468931E7</v>
      </c>
      <c r="E23" s="7">
        <v>2.0</v>
      </c>
      <c r="F23" s="11">
        <v>2.0</v>
      </c>
      <c r="G23" s="12">
        <f t="shared" si="2"/>
        <v>0</v>
      </c>
      <c r="H23" s="13">
        <v>45865.0</v>
      </c>
      <c r="I23" s="14" t="s">
        <v>14</v>
      </c>
      <c r="J23" s="15">
        <v>45867.0</v>
      </c>
      <c r="K23" s="7" t="s">
        <v>283</v>
      </c>
      <c r="L23" s="9"/>
    </row>
    <row r="24" ht="15.75" customHeight="1">
      <c r="A24" s="7">
        <v>25.0</v>
      </c>
      <c r="B24" s="8">
        <v>9.08202189E8</v>
      </c>
      <c r="C24" s="9" t="s">
        <v>55</v>
      </c>
      <c r="D24" s="10">
        <v>2.7468931E7</v>
      </c>
      <c r="E24" s="7">
        <v>2.0</v>
      </c>
      <c r="F24" s="11">
        <v>2.0</v>
      </c>
      <c r="G24" s="12">
        <f t="shared" si="2"/>
        <v>0</v>
      </c>
      <c r="H24" s="13">
        <v>45865.0</v>
      </c>
      <c r="I24" s="14" t="s">
        <v>14</v>
      </c>
      <c r="J24" s="15">
        <v>45867.0</v>
      </c>
      <c r="K24" s="7" t="s">
        <v>283</v>
      </c>
      <c r="L24" s="9"/>
    </row>
    <row r="25" ht="15.75" customHeight="1">
      <c r="A25" s="7">
        <v>26.0</v>
      </c>
      <c r="B25" s="19" t="s">
        <v>20</v>
      </c>
      <c r="C25" s="20" t="s">
        <v>21</v>
      </c>
      <c r="D25" s="10">
        <v>2.7468931E7</v>
      </c>
      <c r="E25" s="7">
        <v>2.0</v>
      </c>
      <c r="F25" s="11">
        <v>2.0</v>
      </c>
      <c r="G25" s="12">
        <f t="shared" si="2"/>
        <v>0</v>
      </c>
      <c r="H25" s="13">
        <v>45865.0</v>
      </c>
      <c r="I25" s="14" t="s">
        <v>14</v>
      </c>
      <c r="J25" s="15">
        <v>45867.0</v>
      </c>
      <c r="K25" s="7" t="s">
        <v>283</v>
      </c>
      <c r="L25" s="9"/>
    </row>
    <row r="26" ht="15.75" customHeight="1">
      <c r="A26" s="7">
        <v>27.0</v>
      </c>
      <c r="B26" s="8">
        <v>9.08020201E8</v>
      </c>
      <c r="C26" s="9" t="s">
        <v>13</v>
      </c>
      <c r="D26" s="10">
        <v>2.7468931E7</v>
      </c>
      <c r="E26" s="7">
        <v>2.0</v>
      </c>
      <c r="F26" s="11"/>
      <c r="G26" s="12">
        <f t="shared" si="2"/>
        <v>2</v>
      </c>
      <c r="H26" s="13">
        <v>45865.0</v>
      </c>
      <c r="I26" s="14" t="s">
        <v>517</v>
      </c>
      <c r="J26" s="15"/>
      <c r="K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>
        <v>9.08113004E8</v>
      </c>
      <c r="C3" s="20" t="s">
        <v>552</v>
      </c>
      <c r="D3" s="10">
        <v>2.720863E7</v>
      </c>
      <c r="E3" s="7">
        <v>8.0</v>
      </c>
      <c r="F3" s="80">
        <v>8.0</v>
      </c>
      <c r="G3" s="12">
        <f t="shared" ref="G3:G17" si="1">E3-F3</f>
        <v>0</v>
      </c>
      <c r="H3" s="13">
        <v>45809.0</v>
      </c>
      <c r="I3" s="14" t="s">
        <v>14</v>
      </c>
      <c r="J3" s="15">
        <v>45836.0</v>
      </c>
      <c r="K3" s="7" t="s">
        <v>63</v>
      </c>
      <c r="L3" s="9"/>
    </row>
    <row r="4">
      <c r="A4" s="7">
        <v>2.0</v>
      </c>
      <c r="B4" s="8">
        <v>9.0812104E8</v>
      </c>
      <c r="C4" s="29" t="s">
        <v>66</v>
      </c>
      <c r="D4" s="10">
        <v>2.720863E7</v>
      </c>
      <c r="E4" s="7">
        <v>2.0</v>
      </c>
      <c r="F4" s="80">
        <v>2.0</v>
      </c>
      <c r="G4" s="12">
        <f t="shared" si="1"/>
        <v>0</v>
      </c>
      <c r="H4" s="13">
        <v>45806.0</v>
      </c>
      <c r="I4" s="14" t="s">
        <v>14</v>
      </c>
      <c r="J4" s="15">
        <v>45836.0</v>
      </c>
      <c r="K4" s="7" t="s">
        <v>63</v>
      </c>
      <c r="L4" s="9"/>
    </row>
    <row r="5">
      <c r="A5" s="7">
        <v>3.0</v>
      </c>
      <c r="B5" s="8">
        <v>9.08569114E8</v>
      </c>
      <c r="C5" s="9" t="s">
        <v>149</v>
      </c>
      <c r="D5" s="10">
        <v>2.720863E7</v>
      </c>
      <c r="E5" s="7">
        <v>1.0</v>
      </c>
      <c r="F5" s="80">
        <v>1.0</v>
      </c>
      <c r="G5" s="12">
        <f t="shared" si="1"/>
        <v>0</v>
      </c>
      <c r="H5" s="13">
        <v>45806.0</v>
      </c>
      <c r="I5" s="14" t="s">
        <v>14</v>
      </c>
      <c r="J5" s="15">
        <v>45836.0</v>
      </c>
      <c r="K5" s="7" t="s">
        <v>63</v>
      </c>
      <c r="L5" s="9"/>
    </row>
    <row r="6">
      <c r="A6" s="7">
        <v>4.0</v>
      </c>
      <c r="B6" s="8">
        <v>9.08321012E8</v>
      </c>
      <c r="C6" s="29" t="s">
        <v>380</v>
      </c>
      <c r="D6" s="10">
        <v>2.720863E7</v>
      </c>
      <c r="E6" s="7">
        <v>1.0</v>
      </c>
      <c r="F6" s="80">
        <v>1.0</v>
      </c>
      <c r="G6" s="12">
        <f t="shared" si="1"/>
        <v>0</v>
      </c>
      <c r="H6" s="13">
        <v>45806.0</v>
      </c>
      <c r="I6" s="14" t="s">
        <v>14</v>
      </c>
      <c r="J6" s="15">
        <v>45836.0</v>
      </c>
      <c r="K6" s="7" t="s">
        <v>63</v>
      </c>
      <c r="L6" s="9"/>
    </row>
    <row r="7">
      <c r="A7" s="7">
        <v>5.0</v>
      </c>
      <c r="B7" s="8">
        <v>9.08111102E8</v>
      </c>
      <c r="C7" s="9" t="s">
        <v>420</v>
      </c>
      <c r="D7" s="10">
        <v>2.720863E7</v>
      </c>
      <c r="E7" s="7">
        <v>25.0</v>
      </c>
      <c r="F7" s="80">
        <v>25.0</v>
      </c>
      <c r="G7" s="12">
        <f t="shared" si="1"/>
        <v>0</v>
      </c>
      <c r="H7" s="13">
        <v>45809.0</v>
      </c>
      <c r="I7" s="14" t="s">
        <v>14</v>
      </c>
      <c r="J7" s="15">
        <v>45843.0</v>
      </c>
      <c r="K7" s="7" t="s">
        <v>63</v>
      </c>
      <c r="L7" s="9"/>
    </row>
    <row r="8">
      <c r="A8" s="7">
        <v>6.0</v>
      </c>
      <c r="B8" s="8">
        <v>9.08202054E8</v>
      </c>
      <c r="C8" s="9" t="s">
        <v>21</v>
      </c>
      <c r="D8" s="10">
        <v>2.720863E7</v>
      </c>
      <c r="E8" s="7">
        <v>4.0</v>
      </c>
      <c r="F8" s="80">
        <v>4.0</v>
      </c>
      <c r="G8" s="12">
        <f t="shared" si="1"/>
        <v>0</v>
      </c>
      <c r="H8" s="13">
        <v>45806.0</v>
      </c>
      <c r="I8" s="14" t="s">
        <v>14</v>
      </c>
      <c r="J8" s="15">
        <v>45843.0</v>
      </c>
      <c r="K8" s="7" t="s">
        <v>63</v>
      </c>
      <c r="L8" s="9"/>
    </row>
    <row r="9">
      <c r="A9" s="7">
        <v>7.0</v>
      </c>
      <c r="B9" s="8">
        <v>9.08202189E8</v>
      </c>
      <c r="C9" s="9" t="s">
        <v>423</v>
      </c>
      <c r="D9" s="10">
        <v>2.720863E7</v>
      </c>
      <c r="E9" s="7">
        <v>8.0</v>
      </c>
      <c r="F9" s="80">
        <v>8.0</v>
      </c>
      <c r="G9" s="12">
        <f t="shared" si="1"/>
        <v>0</v>
      </c>
      <c r="H9" s="13">
        <v>45806.0</v>
      </c>
      <c r="I9" s="14" t="s">
        <v>14</v>
      </c>
      <c r="J9" s="15">
        <v>45843.0</v>
      </c>
      <c r="K9" s="7" t="s">
        <v>63</v>
      </c>
      <c r="L9" s="9"/>
    </row>
    <row r="10">
      <c r="A10" s="7">
        <v>8.0</v>
      </c>
      <c r="B10" s="8">
        <v>9.08122034E8</v>
      </c>
      <c r="C10" s="9" t="s">
        <v>36</v>
      </c>
      <c r="D10" s="10">
        <v>2.720863E7</v>
      </c>
      <c r="E10" s="7">
        <v>8.0</v>
      </c>
      <c r="F10" s="80">
        <v>6.0</v>
      </c>
      <c r="G10" s="12">
        <f t="shared" si="1"/>
        <v>2</v>
      </c>
      <c r="H10" s="13">
        <v>45806.0</v>
      </c>
      <c r="I10" s="14" t="s">
        <v>14</v>
      </c>
      <c r="J10" s="15">
        <v>45843.0</v>
      </c>
      <c r="K10" s="7" t="s">
        <v>63</v>
      </c>
      <c r="L10" s="9"/>
    </row>
    <row r="11">
      <c r="A11" s="7">
        <v>9.0</v>
      </c>
      <c r="B11" s="8">
        <v>9.08111005E8</v>
      </c>
      <c r="C11" s="9" t="s">
        <v>26</v>
      </c>
      <c r="D11" s="10">
        <v>2.720863E7</v>
      </c>
      <c r="E11" s="7">
        <v>15.0</v>
      </c>
      <c r="F11" s="11">
        <v>15.0</v>
      </c>
      <c r="G11" s="12">
        <f t="shared" si="1"/>
        <v>0</v>
      </c>
      <c r="H11" s="13">
        <v>45809.0</v>
      </c>
      <c r="I11" s="14" t="s">
        <v>14</v>
      </c>
      <c r="J11" s="15">
        <v>45872.0</v>
      </c>
      <c r="K11" s="7" t="s">
        <v>63</v>
      </c>
      <c r="L11" s="9"/>
    </row>
    <row r="12">
      <c r="A12" s="7">
        <v>10.0</v>
      </c>
      <c r="B12" s="8">
        <v>9.08111007E8</v>
      </c>
      <c r="C12" s="9" t="s">
        <v>28</v>
      </c>
      <c r="D12" s="10">
        <v>2.720863E7</v>
      </c>
      <c r="E12" s="7">
        <f>23+10</f>
        <v>33</v>
      </c>
      <c r="F12" s="11">
        <f>30+5</f>
        <v>35</v>
      </c>
      <c r="G12" s="12">
        <f t="shared" si="1"/>
        <v>-2</v>
      </c>
      <c r="H12" s="13" t="s">
        <v>553</v>
      </c>
      <c r="I12" s="14" t="s">
        <v>14</v>
      </c>
      <c r="J12" s="30" t="s">
        <v>554</v>
      </c>
      <c r="K12" s="7" t="s">
        <v>63</v>
      </c>
      <c r="L12" s="9"/>
    </row>
    <row r="13">
      <c r="A13" s="7">
        <v>11.0</v>
      </c>
      <c r="B13" s="8">
        <v>9.08114004E8</v>
      </c>
      <c r="C13" s="9" t="s">
        <v>69</v>
      </c>
      <c r="D13" s="10">
        <v>2.720863E7</v>
      </c>
      <c r="E13" s="7">
        <v>45.0</v>
      </c>
      <c r="F13" s="80">
        <v>45.0</v>
      </c>
      <c r="G13" s="12">
        <f t="shared" si="1"/>
        <v>0</v>
      </c>
      <c r="H13" s="13">
        <v>45809.0</v>
      </c>
      <c r="I13" s="14" t="s">
        <v>14</v>
      </c>
      <c r="J13" s="15">
        <v>45842.0</v>
      </c>
      <c r="K13" s="7" t="s">
        <v>63</v>
      </c>
      <c r="L13" s="9"/>
    </row>
    <row r="14">
      <c r="A14" s="7">
        <v>12.0</v>
      </c>
      <c r="B14" s="8">
        <v>9.08121153E8</v>
      </c>
      <c r="C14" s="9" t="s">
        <v>72</v>
      </c>
      <c r="D14" s="10">
        <v>2.720863E7</v>
      </c>
      <c r="E14" s="7">
        <v>2.0</v>
      </c>
      <c r="F14" s="80">
        <v>2.0</v>
      </c>
      <c r="G14" s="12">
        <f t="shared" si="1"/>
        <v>0</v>
      </c>
      <c r="H14" s="13">
        <v>45827.0</v>
      </c>
      <c r="I14" s="14" t="s">
        <v>14</v>
      </c>
      <c r="J14" s="15">
        <v>45852.0</v>
      </c>
      <c r="K14" s="7" t="s">
        <v>63</v>
      </c>
      <c r="L14" s="9"/>
    </row>
    <row r="15">
      <c r="A15" s="7">
        <v>13.0</v>
      </c>
      <c r="B15" s="8">
        <v>9.0812101E8</v>
      </c>
      <c r="C15" s="9" t="s">
        <v>18</v>
      </c>
      <c r="D15" s="10">
        <v>2.720863E7</v>
      </c>
      <c r="E15" s="7">
        <v>1.0</v>
      </c>
      <c r="F15" s="80">
        <v>1.0</v>
      </c>
      <c r="G15" s="12">
        <f t="shared" si="1"/>
        <v>0</v>
      </c>
      <c r="H15" s="13">
        <v>45806.0</v>
      </c>
      <c r="I15" s="14" t="s">
        <v>14</v>
      </c>
      <c r="J15" s="15">
        <v>45843.0</v>
      </c>
      <c r="K15" s="7" t="s">
        <v>63</v>
      </c>
      <c r="L15" s="9"/>
    </row>
    <row r="16">
      <c r="A16" s="7">
        <v>14.0</v>
      </c>
      <c r="B16" s="8">
        <v>9.08121144E8</v>
      </c>
      <c r="C16" s="9" t="s">
        <v>425</v>
      </c>
      <c r="D16" s="10">
        <v>2.720863E7</v>
      </c>
      <c r="E16" s="7">
        <v>2.0</v>
      </c>
      <c r="F16" s="80">
        <v>2.0</v>
      </c>
      <c r="G16" s="12">
        <f t="shared" si="1"/>
        <v>0</v>
      </c>
      <c r="H16" s="13">
        <v>45806.0</v>
      </c>
      <c r="I16" s="14" t="s">
        <v>14</v>
      </c>
      <c r="J16" s="15">
        <v>45843.0</v>
      </c>
      <c r="K16" s="7" t="s">
        <v>63</v>
      </c>
      <c r="L16" s="9"/>
    </row>
    <row r="17">
      <c r="A17" s="7">
        <v>15.0</v>
      </c>
      <c r="B17" s="8">
        <v>9.08020201E8</v>
      </c>
      <c r="C17" s="9" t="s">
        <v>13</v>
      </c>
      <c r="D17" s="10">
        <v>2.720863E7</v>
      </c>
      <c r="E17" s="7">
        <v>2.0</v>
      </c>
      <c r="F17" s="80"/>
      <c r="G17" s="12">
        <f t="shared" si="1"/>
        <v>2</v>
      </c>
      <c r="H17" s="13">
        <v>45806.0</v>
      </c>
      <c r="I17" s="14" t="s">
        <v>14</v>
      </c>
      <c r="J17" s="15"/>
      <c r="K17" s="7"/>
      <c r="L17" s="9"/>
    </row>
    <row r="18">
      <c r="A18" s="7">
        <v>16.0</v>
      </c>
      <c r="B18" s="8">
        <v>9.08122011E8</v>
      </c>
      <c r="C18" s="9" t="s">
        <v>23</v>
      </c>
      <c r="D18" s="10">
        <v>2.7479902E7</v>
      </c>
      <c r="E18" s="7">
        <v>3.0</v>
      </c>
      <c r="F18" s="11"/>
      <c r="G18" s="12">
        <v>3.0</v>
      </c>
      <c r="H18" s="13">
        <v>45890.0</v>
      </c>
      <c r="I18" s="14" t="s">
        <v>14</v>
      </c>
      <c r="J18" s="15"/>
      <c r="K18" s="7"/>
      <c r="L18" s="9"/>
    </row>
    <row r="19">
      <c r="A19" s="7">
        <v>17.0</v>
      </c>
      <c r="B19" s="8">
        <v>9.08421029E8</v>
      </c>
      <c r="C19" s="9" t="s">
        <v>122</v>
      </c>
      <c r="D19" s="10">
        <v>2.7479902E7</v>
      </c>
      <c r="E19" s="7">
        <v>1.0</v>
      </c>
      <c r="F19" s="11">
        <v>1.0</v>
      </c>
      <c r="G19" s="12">
        <f t="shared" ref="G19:G31" si="2">E19-F19</f>
        <v>0</v>
      </c>
      <c r="H19" s="13" t="s">
        <v>555</v>
      </c>
      <c r="I19" s="14" t="s">
        <v>14</v>
      </c>
      <c r="J19" s="15">
        <v>45872.0</v>
      </c>
      <c r="K19" s="7" t="s">
        <v>63</v>
      </c>
      <c r="L19" s="9"/>
    </row>
    <row r="20">
      <c r="A20" s="7">
        <v>18.0</v>
      </c>
      <c r="B20" s="8">
        <v>9.08421003E8</v>
      </c>
      <c r="C20" s="9" t="s">
        <v>386</v>
      </c>
      <c r="D20" s="10">
        <v>2.7479902E7</v>
      </c>
      <c r="E20" s="7">
        <v>2.0</v>
      </c>
      <c r="F20" s="11">
        <v>2.0</v>
      </c>
      <c r="G20" s="12">
        <f t="shared" si="2"/>
        <v>0</v>
      </c>
      <c r="H20" s="13" t="s">
        <v>555</v>
      </c>
      <c r="I20" s="14" t="s">
        <v>14</v>
      </c>
      <c r="J20" s="15">
        <v>45872.0</v>
      </c>
      <c r="K20" s="7" t="s">
        <v>63</v>
      </c>
      <c r="L20" s="9"/>
    </row>
    <row r="21" ht="15.75" customHeight="1">
      <c r="A21" s="7">
        <v>19.0</v>
      </c>
      <c r="B21" s="8">
        <v>9.08402208E8</v>
      </c>
      <c r="C21" s="9" t="s">
        <v>111</v>
      </c>
      <c r="D21" s="10">
        <v>2.7479902E7</v>
      </c>
      <c r="E21" s="7">
        <v>11.0</v>
      </c>
      <c r="F21" s="11">
        <v>11.0</v>
      </c>
      <c r="G21" s="12">
        <f t="shared" si="2"/>
        <v>0</v>
      </c>
      <c r="H21" s="13" t="s">
        <v>555</v>
      </c>
      <c r="I21" s="14" t="s">
        <v>14</v>
      </c>
      <c r="J21" s="15">
        <v>45872.0</v>
      </c>
      <c r="K21" s="7" t="s">
        <v>63</v>
      </c>
      <c r="L21" s="9"/>
    </row>
    <row r="22" ht="15.75" customHeight="1">
      <c r="A22" s="7">
        <v>20.0</v>
      </c>
      <c r="B22" s="8">
        <v>9.08371001E8</v>
      </c>
      <c r="C22" s="9" t="s">
        <v>91</v>
      </c>
      <c r="D22" s="10">
        <v>2.7479902E7</v>
      </c>
      <c r="E22" s="7">
        <v>11.0</v>
      </c>
      <c r="F22" s="11">
        <v>11.0</v>
      </c>
      <c r="G22" s="12">
        <f t="shared" si="2"/>
        <v>0</v>
      </c>
      <c r="H22" s="13" t="s">
        <v>555</v>
      </c>
      <c r="I22" s="14" t="s">
        <v>14</v>
      </c>
      <c r="J22" s="15">
        <v>45872.0</v>
      </c>
      <c r="K22" s="7" t="s">
        <v>63</v>
      </c>
      <c r="L22" s="9"/>
    </row>
    <row r="23" ht="15.75" customHeight="1">
      <c r="A23" s="7">
        <v>21.0</v>
      </c>
      <c r="B23" s="8">
        <v>9.0820203E8</v>
      </c>
      <c r="C23" s="9" t="s">
        <v>19</v>
      </c>
      <c r="D23" s="10">
        <v>2.7479902E7</v>
      </c>
      <c r="E23" s="7">
        <v>57.0</v>
      </c>
      <c r="F23" s="11">
        <v>10.0</v>
      </c>
      <c r="G23" s="12">
        <f t="shared" si="2"/>
        <v>47</v>
      </c>
      <c r="H23" s="13" t="s">
        <v>555</v>
      </c>
      <c r="I23" s="14" t="s">
        <v>14</v>
      </c>
      <c r="J23" s="15">
        <v>45872.0</v>
      </c>
      <c r="K23" s="7" t="s">
        <v>63</v>
      </c>
      <c r="L23" s="9"/>
    </row>
    <row r="24" ht="15.75" customHeight="1">
      <c r="A24" s="7">
        <v>22.0</v>
      </c>
      <c r="B24" s="8">
        <v>9.08122003E8</v>
      </c>
      <c r="C24" s="9" t="s">
        <v>368</v>
      </c>
      <c r="D24" s="10">
        <v>2.7479902E7</v>
      </c>
      <c r="E24" s="7">
        <v>40.0</v>
      </c>
      <c r="F24" s="11">
        <v>32.0</v>
      </c>
      <c r="G24" s="12">
        <f t="shared" si="2"/>
        <v>8</v>
      </c>
      <c r="H24" s="13" t="s">
        <v>555</v>
      </c>
      <c r="I24" s="14" t="s">
        <v>14</v>
      </c>
      <c r="J24" s="15">
        <v>45872.0</v>
      </c>
      <c r="K24" s="7" t="s">
        <v>63</v>
      </c>
      <c r="L24" s="9"/>
    </row>
    <row r="25" ht="15.75" customHeight="1">
      <c r="A25" s="7">
        <v>23.0</v>
      </c>
      <c r="B25" s="8">
        <v>9.08111101E8</v>
      </c>
      <c r="C25" s="9" t="s">
        <v>24</v>
      </c>
      <c r="D25" s="10">
        <v>2.7479902E7</v>
      </c>
      <c r="E25" s="7">
        <v>17.0</v>
      </c>
      <c r="F25" s="11">
        <v>8.0</v>
      </c>
      <c r="G25" s="12">
        <f t="shared" si="2"/>
        <v>9</v>
      </c>
      <c r="H25" s="13">
        <v>45873.0</v>
      </c>
      <c r="I25" s="14" t="s">
        <v>14</v>
      </c>
      <c r="J25" s="15">
        <v>45872.0</v>
      </c>
      <c r="K25" s="7" t="s">
        <v>63</v>
      </c>
      <c r="L25" s="9"/>
    </row>
    <row r="26" ht="15.75" customHeight="1">
      <c r="A26" s="7">
        <v>24.0</v>
      </c>
      <c r="B26" s="8">
        <v>9.0812201E8</v>
      </c>
      <c r="C26" s="9" t="s">
        <v>80</v>
      </c>
      <c r="D26" s="10">
        <v>2.7479902E7</v>
      </c>
      <c r="E26" s="7">
        <v>24.0</v>
      </c>
      <c r="F26" s="11">
        <v>24.0</v>
      </c>
      <c r="G26" s="12">
        <f t="shared" si="2"/>
        <v>0</v>
      </c>
      <c r="H26" s="13" t="s">
        <v>555</v>
      </c>
      <c r="I26" s="14" t="s">
        <v>14</v>
      </c>
      <c r="J26" s="15">
        <v>45872.0</v>
      </c>
      <c r="K26" s="7" t="s">
        <v>63</v>
      </c>
      <c r="L26" s="9"/>
    </row>
    <row r="27" ht="15.75" customHeight="1">
      <c r="A27" s="7">
        <v>25.0</v>
      </c>
      <c r="B27" s="8">
        <v>9.08202189E8</v>
      </c>
      <c r="C27" s="9" t="s">
        <v>55</v>
      </c>
      <c r="D27" s="10">
        <v>2.7479902E7</v>
      </c>
      <c r="E27" s="7">
        <v>3.0</v>
      </c>
      <c r="F27" s="11">
        <v>3.0</v>
      </c>
      <c r="G27" s="12">
        <f t="shared" si="2"/>
        <v>0</v>
      </c>
      <c r="H27" s="13" t="s">
        <v>555</v>
      </c>
      <c r="I27" s="14" t="s">
        <v>14</v>
      </c>
      <c r="J27" s="15">
        <v>45872.0</v>
      </c>
      <c r="K27" s="7" t="s">
        <v>63</v>
      </c>
      <c r="L27" s="9"/>
    </row>
    <row r="28" ht="15.75" customHeight="1">
      <c r="A28" s="7">
        <v>26.0</v>
      </c>
      <c r="B28" s="8" t="s">
        <v>20</v>
      </c>
      <c r="C28" s="9" t="s">
        <v>21</v>
      </c>
      <c r="D28" s="10">
        <v>2.7479902E7</v>
      </c>
      <c r="E28" s="7">
        <v>3.0</v>
      </c>
      <c r="F28" s="11">
        <v>3.0</v>
      </c>
      <c r="G28" s="12">
        <f t="shared" si="2"/>
        <v>0</v>
      </c>
      <c r="H28" s="13" t="s">
        <v>555</v>
      </c>
      <c r="I28" s="14" t="s">
        <v>14</v>
      </c>
      <c r="J28" s="15">
        <v>45872.0</v>
      </c>
      <c r="K28" s="7" t="s">
        <v>63</v>
      </c>
      <c r="L28" s="9"/>
    </row>
    <row r="29" ht="15.75" customHeight="1">
      <c r="A29" s="7">
        <v>27.0</v>
      </c>
      <c r="B29" s="8">
        <v>9.08421025E8</v>
      </c>
      <c r="C29" s="9" t="s">
        <v>112</v>
      </c>
      <c r="D29" s="10">
        <v>2.7479902E7</v>
      </c>
      <c r="E29" s="7">
        <v>1.0</v>
      </c>
      <c r="F29" s="11">
        <v>1.0</v>
      </c>
      <c r="G29" s="12">
        <f t="shared" si="2"/>
        <v>0</v>
      </c>
      <c r="H29" s="13" t="s">
        <v>555</v>
      </c>
      <c r="I29" s="14" t="s">
        <v>14</v>
      </c>
      <c r="J29" s="15">
        <v>45872.0</v>
      </c>
      <c r="K29" s="7" t="s">
        <v>63</v>
      </c>
      <c r="L29" s="9"/>
    </row>
    <row r="30" ht="15.75" customHeight="1">
      <c r="A30" s="7">
        <v>28.0</v>
      </c>
      <c r="B30" s="8">
        <v>9.08020201E8</v>
      </c>
      <c r="C30" s="9" t="s">
        <v>13</v>
      </c>
      <c r="D30" s="10">
        <v>2.7479902E7</v>
      </c>
      <c r="E30" s="7">
        <v>2.0</v>
      </c>
      <c r="F30" s="11"/>
      <c r="G30" s="12">
        <f t="shared" si="2"/>
        <v>2</v>
      </c>
      <c r="H30" s="13" t="s">
        <v>555</v>
      </c>
      <c r="I30" s="14" t="s">
        <v>14</v>
      </c>
      <c r="J30" s="15"/>
      <c r="K30" s="7"/>
      <c r="L30" s="9"/>
    </row>
    <row r="31" ht="15.75" customHeight="1">
      <c r="A31" s="7">
        <v>29.0</v>
      </c>
      <c r="B31" s="8">
        <v>9.08122008E8</v>
      </c>
      <c r="C31" s="9" t="s">
        <v>556</v>
      </c>
      <c r="D31" s="10">
        <v>2.7479902E7</v>
      </c>
      <c r="E31" s="7">
        <v>1.0</v>
      </c>
      <c r="F31" s="11"/>
      <c r="G31" s="12">
        <f t="shared" si="2"/>
        <v>1</v>
      </c>
      <c r="H31" s="13">
        <v>45869.0</v>
      </c>
      <c r="I31" s="14" t="s">
        <v>14</v>
      </c>
      <c r="J31" s="15"/>
      <c r="K31" s="7"/>
      <c r="L31" s="9"/>
    </row>
    <row r="32" ht="15.75" customHeight="1">
      <c r="A32" s="7"/>
      <c r="B32" s="8"/>
      <c r="C32" s="9"/>
      <c r="D32" s="10"/>
      <c r="E32" s="7"/>
      <c r="F32" s="11"/>
      <c r="G32" s="12"/>
      <c r="H32" s="13"/>
      <c r="I32" s="14"/>
      <c r="J32" s="15"/>
      <c r="K32" s="7"/>
      <c r="L32" s="9"/>
    </row>
    <row r="33" ht="15.75" customHeight="1">
      <c r="A33" s="7"/>
      <c r="B33" s="8"/>
      <c r="C33" s="9"/>
      <c r="D33" s="10"/>
      <c r="E33" s="7"/>
      <c r="F33" s="11"/>
      <c r="G33" s="12"/>
      <c r="H33" s="13"/>
      <c r="I33" s="14"/>
      <c r="J33" s="15"/>
      <c r="K33" s="7"/>
      <c r="L33" s="9"/>
    </row>
    <row r="34" ht="15.75" customHeight="1">
      <c r="A34" s="7"/>
      <c r="B34" s="8"/>
      <c r="C34" s="9"/>
      <c r="D34" s="10"/>
      <c r="E34" s="7"/>
      <c r="F34" s="11"/>
      <c r="G34" s="12"/>
      <c r="H34" s="13"/>
      <c r="I34" s="14"/>
      <c r="J34" s="15"/>
      <c r="K34" s="7"/>
      <c r="L34" s="9"/>
    </row>
    <row r="35" ht="15.75" customHeight="1">
      <c r="A35" s="7"/>
      <c r="B35" s="8"/>
      <c r="C35" s="9"/>
      <c r="D35" s="10"/>
      <c r="E35" s="7"/>
      <c r="F35" s="11"/>
      <c r="G35" s="12"/>
      <c r="H35" s="13"/>
      <c r="I35" s="14"/>
      <c r="J35" s="15"/>
      <c r="K35" s="7"/>
      <c r="L35" s="9"/>
    </row>
    <row r="36" ht="15.75" customHeight="1">
      <c r="A36" s="7"/>
      <c r="B36" s="8"/>
      <c r="C36" s="9"/>
      <c r="D36" s="10"/>
      <c r="E36" s="7"/>
      <c r="F36" s="11"/>
      <c r="G36" s="12"/>
      <c r="H36" s="13"/>
      <c r="I36" s="14"/>
      <c r="J36" s="15"/>
      <c r="K36" s="7"/>
      <c r="L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3.0</v>
      </c>
      <c r="B3" s="8">
        <v>9.08402207E8</v>
      </c>
      <c r="C3" s="9" t="s">
        <v>377</v>
      </c>
      <c r="D3" s="10">
        <v>2.7189524E7</v>
      </c>
      <c r="E3" s="7">
        <v>1.0</v>
      </c>
      <c r="F3" s="11">
        <v>1.0</v>
      </c>
      <c r="G3" s="12">
        <v>0.0</v>
      </c>
      <c r="H3" s="13">
        <v>45799.0</v>
      </c>
      <c r="I3" s="14" t="s">
        <v>14</v>
      </c>
      <c r="J3" s="15">
        <v>45809.0</v>
      </c>
      <c r="K3" s="7" t="s">
        <v>283</v>
      </c>
      <c r="L3" s="9"/>
    </row>
    <row r="4">
      <c r="A4" s="7">
        <v>13.0</v>
      </c>
      <c r="B4" s="8">
        <v>9.08370504E8</v>
      </c>
      <c r="C4" s="9" t="s">
        <v>525</v>
      </c>
      <c r="D4" s="10">
        <v>2.7189524E7</v>
      </c>
      <c r="E4" s="7">
        <v>1.0</v>
      </c>
      <c r="F4" s="11">
        <v>1.0</v>
      </c>
      <c r="G4" s="12"/>
      <c r="H4" s="13">
        <v>45805.0</v>
      </c>
      <c r="I4" s="14" t="s">
        <v>14</v>
      </c>
      <c r="J4" s="15">
        <v>45809.0</v>
      </c>
      <c r="K4" s="7" t="s">
        <v>283</v>
      </c>
      <c r="L4" s="9"/>
    </row>
    <row r="6">
      <c r="H6" s="18" t="s">
        <v>341</v>
      </c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558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559</v>
      </c>
      <c r="D3" s="16">
        <v>2.7131514E7</v>
      </c>
      <c r="E3" s="16">
        <v>95.0</v>
      </c>
      <c r="F3" s="11">
        <v>105.0</v>
      </c>
      <c r="G3" s="12">
        <f>E3-F3</f>
        <v>-10</v>
      </c>
      <c r="H3" s="13"/>
      <c r="I3" s="14" t="s">
        <v>14</v>
      </c>
      <c r="J3" s="15">
        <v>45808.0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6">
        <v>2.7131514E7</v>
      </c>
      <c r="E4" s="16"/>
      <c r="F4" s="11">
        <v>2.0</v>
      </c>
      <c r="G4" s="12">
        <v>-2.0</v>
      </c>
      <c r="H4" s="13"/>
      <c r="I4" s="14" t="s">
        <v>14</v>
      </c>
      <c r="J4" s="15">
        <v>45811.0</v>
      </c>
      <c r="K4" s="7" t="s">
        <v>283</v>
      </c>
      <c r="L4" s="20"/>
    </row>
    <row r="5">
      <c r="A5" s="7">
        <v>3.0</v>
      </c>
      <c r="B5" s="8">
        <v>9.08421031E8</v>
      </c>
      <c r="C5" s="9" t="s">
        <v>122</v>
      </c>
      <c r="D5" s="16">
        <v>2.7760361E7</v>
      </c>
      <c r="E5" s="16">
        <v>1.0</v>
      </c>
      <c r="F5" s="11">
        <v>1.0</v>
      </c>
      <c r="G5" s="12">
        <f t="shared" ref="G5:G15" si="1">E5-F5</f>
        <v>0</v>
      </c>
      <c r="H5" s="13">
        <v>45922.0</v>
      </c>
      <c r="I5" s="14" t="s">
        <v>14</v>
      </c>
      <c r="J5" s="15">
        <v>45922.0</v>
      </c>
      <c r="K5" s="7" t="s">
        <v>16</v>
      </c>
      <c r="L5" s="20"/>
    </row>
    <row r="6">
      <c r="A6" s="7">
        <v>4.0</v>
      </c>
      <c r="B6" s="8">
        <v>9.08421003E8</v>
      </c>
      <c r="C6" s="9" t="s">
        <v>386</v>
      </c>
      <c r="D6" s="16">
        <v>2.7760361E7</v>
      </c>
      <c r="E6" s="16">
        <v>1.0</v>
      </c>
      <c r="F6" s="11">
        <v>1.0</v>
      </c>
      <c r="G6" s="12">
        <f t="shared" si="1"/>
        <v>0</v>
      </c>
      <c r="H6" s="13">
        <v>45922.0</v>
      </c>
      <c r="I6" s="14" t="s">
        <v>14</v>
      </c>
      <c r="J6" s="15">
        <v>45922.0</v>
      </c>
      <c r="K6" s="7" t="s">
        <v>16</v>
      </c>
      <c r="L6" s="20"/>
    </row>
    <row r="7">
      <c r="A7" s="7">
        <v>5.0</v>
      </c>
      <c r="B7" s="8">
        <v>9.08402208E8</v>
      </c>
      <c r="C7" s="9" t="s">
        <v>111</v>
      </c>
      <c r="D7" s="16">
        <v>2.7760361E7</v>
      </c>
      <c r="E7" s="16">
        <v>6.0</v>
      </c>
      <c r="F7" s="11">
        <v>6.0</v>
      </c>
      <c r="G7" s="12">
        <f t="shared" si="1"/>
        <v>0</v>
      </c>
      <c r="H7" s="13">
        <v>45922.0</v>
      </c>
      <c r="I7" s="14" t="s">
        <v>14</v>
      </c>
      <c r="J7" s="15">
        <v>45922.0</v>
      </c>
      <c r="K7" s="7" t="s">
        <v>16</v>
      </c>
      <c r="L7" s="20"/>
    </row>
    <row r="8">
      <c r="A8" s="7">
        <v>6.0</v>
      </c>
      <c r="B8" s="8">
        <v>9.08371001E8</v>
      </c>
      <c r="C8" s="9" t="s">
        <v>91</v>
      </c>
      <c r="D8" s="16">
        <v>2.7760361E7</v>
      </c>
      <c r="E8" s="16">
        <v>5.0</v>
      </c>
      <c r="F8" s="11">
        <v>5.0</v>
      </c>
      <c r="G8" s="12">
        <f t="shared" si="1"/>
        <v>0</v>
      </c>
      <c r="H8" s="13">
        <v>45922.0</v>
      </c>
      <c r="I8" s="14" t="s">
        <v>14</v>
      </c>
      <c r="J8" s="15">
        <v>45922.0</v>
      </c>
      <c r="K8" s="7" t="s">
        <v>16</v>
      </c>
      <c r="L8" s="20"/>
    </row>
    <row r="9">
      <c r="A9" s="7">
        <v>7.0</v>
      </c>
      <c r="B9" s="8">
        <v>9.0820203E8</v>
      </c>
      <c r="C9" s="9" t="s">
        <v>19</v>
      </c>
      <c r="D9" s="16">
        <v>2.7760361E7</v>
      </c>
      <c r="E9" s="16">
        <v>32.0</v>
      </c>
      <c r="F9" s="11">
        <v>5.0</v>
      </c>
      <c r="G9" s="12">
        <f t="shared" si="1"/>
        <v>27</v>
      </c>
      <c r="H9" s="13">
        <v>45922.0</v>
      </c>
      <c r="I9" s="14" t="s">
        <v>14</v>
      </c>
      <c r="J9" s="15">
        <v>45922.0</v>
      </c>
      <c r="K9" s="7" t="s">
        <v>16</v>
      </c>
      <c r="L9" s="20"/>
    </row>
    <row r="10">
      <c r="A10" s="7">
        <v>8.0</v>
      </c>
      <c r="B10" s="8">
        <v>9.08122003E8</v>
      </c>
      <c r="C10" s="9" t="s">
        <v>368</v>
      </c>
      <c r="D10" s="16">
        <v>2.7760361E7</v>
      </c>
      <c r="E10" s="16">
        <v>24.0</v>
      </c>
      <c r="F10" s="11">
        <v>6.0</v>
      </c>
      <c r="G10" s="12">
        <f t="shared" si="1"/>
        <v>18</v>
      </c>
      <c r="H10" s="13">
        <v>45922.0</v>
      </c>
      <c r="I10" s="14" t="s">
        <v>14</v>
      </c>
      <c r="J10" s="15">
        <v>45922.0</v>
      </c>
      <c r="K10" s="7" t="s">
        <v>16</v>
      </c>
      <c r="L10" s="20"/>
    </row>
    <row r="11">
      <c r="A11" s="7">
        <v>9.0</v>
      </c>
      <c r="B11" s="8">
        <v>9.08111101E8</v>
      </c>
      <c r="C11" s="9" t="s">
        <v>24</v>
      </c>
      <c r="D11" s="16">
        <v>2.7760361E7</v>
      </c>
      <c r="E11" s="16">
        <v>4.0</v>
      </c>
      <c r="F11" s="11">
        <v>4.0</v>
      </c>
      <c r="G11" s="12">
        <f t="shared" si="1"/>
        <v>0</v>
      </c>
      <c r="H11" s="13">
        <v>45922.0</v>
      </c>
      <c r="I11" s="14" t="s">
        <v>14</v>
      </c>
      <c r="J11" s="15">
        <v>45922.0</v>
      </c>
      <c r="K11" s="7" t="s">
        <v>16</v>
      </c>
      <c r="L11" s="20"/>
    </row>
    <row r="12">
      <c r="A12" s="7">
        <v>10.0</v>
      </c>
      <c r="B12" s="8">
        <v>9.0812201E8</v>
      </c>
      <c r="C12" s="9" t="s">
        <v>80</v>
      </c>
      <c r="D12" s="16">
        <v>2.7760361E7</v>
      </c>
      <c r="E12" s="16">
        <v>16.0</v>
      </c>
      <c r="F12" s="11">
        <v>12.0</v>
      </c>
      <c r="G12" s="12">
        <f t="shared" si="1"/>
        <v>4</v>
      </c>
      <c r="H12" s="13">
        <v>45922.0</v>
      </c>
      <c r="I12" s="14" t="s">
        <v>14</v>
      </c>
      <c r="J12" s="15">
        <v>45922.0</v>
      </c>
      <c r="K12" s="7" t="s">
        <v>16</v>
      </c>
      <c r="L12" s="20"/>
    </row>
    <row r="13">
      <c r="A13" s="7">
        <v>11.0</v>
      </c>
      <c r="B13" s="8">
        <v>9.08202189E8</v>
      </c>
      <c r="C13" s="9" t="s">
        <v>55</v>
      </c>
      <c r="D13" s="16">
        <v>2.7760361E7</v>
      </c>
      <c r="E13" s="16">
        <v>2.0</v>
      </c>
      <c r="F13" s="11">
        <v>2.0</v>
      </c>
      <c r="G13" s="12">
        <f t="shared" si="1"/>
        <v>0</v>
      </c>
      <c r="H13" s="13">
        <v>45922.0</v>
      </c>
      <c r="I13" s="14" t="s">
        <v>14</v>
      </c>
      <c r="J13" s="15">
        <v>45922.0</v>
      </c>
      <c r="K13" s="7" t="s">
        <v>16</v>
      </c>
      <c r="L13" s="20"/>
    </row>
    <row r="14">
      <c r="A14" s="7">
        <v>12.0</v>
      </c>
      <c r="B14" s="8" t="s">
        <v>20</v>
      </c>
      <c r="C14" s="9" t="s">
        <v>21</v>
      </c>
      <c r="D14" s="16">
        <v>2.7760361E7</v>
      </c>
      <c r="E14" s="16">
        <v>2.0</v>
      </c>
      <c r="F14" s="11">
        <v>2.0</v>
      </c>
      <c r="G14" s="12">
        <f t="shared" si="1"/>
        <v>0</v>
      </c>
      <c r="H14" s="13">
        <v>45922.0</v>
      </c>
      <c r="I14" s="14" t="s">
        <v>14</v>
      </c>
      <c r="J14" s="15">
        <v>45922.0</v>
      </c>
      <c r="K14" s="7" t="s">
        <v>16</v>
      </c>
      <c r="L14" s="20"/>
    </row>
    <row r="15">
      <c r="A15" s="7">
        <v>13.0</v>
      </c>
      <c r="B15" s="8">
        <v>9.08371012E8</v>
      </c>
      <c r="C15" s="9" t="s">
        <v>150</v>
      </c>
      <c r="D15" s="16">
        <v>2.7760361E7</v>
      </c>
      <c r="E15" s="16">
        <v>1.0</v>
      </c>
      <c r="F15" s="11">
        <v>1.0</v>
      </c>
      <c r="G15" s="12">
        <f t="shared" si="1"/>
        <v>0</v>
      </c>
      <c r="H15" s="13">
        <v>45922.0</v>
      </c>
      <c r="I15" s="14" t="s">
        <v>14</v>
      </c>
      <c r="J15" s="15">
        <v>45922.0</v>
      </c>
      <c r="K15" s="7" t="s">
        <v>16</v>
      </c>
      <c r="L15" s="20"/>
    </row>
    <row r="16">
      <c r="A16" s="7"/>
      <c r="B16" s="8">
        <v>9.08020201E8</v>
      </c>
      <c r="C16" s="9" t="s">
        <v>13</v>
      </c>
      <c r="D16" s="16">
        <v>2.7760361E7</v>
      </c>
      <c r="E16" s="16">
        <v>1.0</v>
      </c>
      <c r="F16" s="11"/>
      <c r="G16" s="12">
        <v>1.0</v>
      </c>
      <c r="H16" s="13">
        <v>45922.0</v>
      </c>
      <c r="I16" s="14"/>
      <c r="J16" s="15"/>
      <c r="K16" s="7"/>
      <c r="L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20</v>
      </c>
      <c r="C3" s="20" t="s">
        <v>21</v>
      </c>
      <c r="D3" s="10">
        <v>2.7210357E7</v>
      </c>
      <c r="E3" s="7">
        <v>2.0</v>
      </c>
      <c r="F3" s="11">
        <v>2.0</v>
      </c>
      <c r="G3" s="12">
        <f t="shared" ref="G3:G11" si="1">E3-F3</f>
        <v>0</v>
      </c>
      <c r="H3" s="13">
        <v>45805.0</v>
      </c>
      <c r="I3" s="14" t="s">
        <v>14</v>
      </c>
      <c r="J3" s="15">
        <v>45806.0</v>
      </c>
      <c r="K3" s="7" t="s">
        <v>283</v>
      </c>
      <c r="L3" s="9"/>
    </row>
    <row r="4">
      <c r="A4" s="7">
        <v>2.0</v>
      </c>
      <c r="B4" s="8">
        <v>9.08402208E8</v>
      </c>
      <c r="C4" s="29" t="s">
        <v>111</v>
      </c>
      <c r="D4" s="10">
        <v>2.7210357E7</v>
      </c>
      <c r="E4" s="7">
        <v>2.0</v>
      </c>
      <c r="F4" s="11">
        <v>2.0</v>
      </c>
      <c r="G4" s="12">
        <f t="shared" si="1"/>
        <v>0</v>
      </c>
      <c r="H4" s="13">
        <v>45805.0</v>
      </c>
      <c r="I4" s="14" t="s">
        <v>14</v>
      </c>
      <c r="J4" s="15">
        <v>45806.0</v>
      </c>
      <c r="K4" s="7" t="s">
        <v>283</v>
      </c>
      <c r="L4" s="9"/>
    </row>
    <row r="5">
      <c r="A5" s="7">
        <v>3.0</v>
      </c>
      <c r="B5" s="8">
        <v>9.0812201E8</v>
      </c>
      <c r="C5" s="9" t="s">
        <v>80</v>
      </c>
      <c r="D5" s="10">
        <v>2.7210357E7</v>
      </c>
      <c r="E5" s="7">
        <v>8.0</v>
      </c>
      <c r="F5" s="11">
        <v>8.0</v>
      </c>
      <c r="G5" s="12">
        <f t="shared" si="1"/>
        <v>0</v>
      </c>
      <c r="H5" s="13">
        <v>45805.0</v>
      </c>
      <c r="I5" s="14" t="s">
        <v>14</v>
      </c>
      <c r="J5" s="15">
        <v>45806.0</v>
      </c>
      <c r="K5" s="7" t="s">
        <v>283</v>
      </c>
      <c r="L5" s="9"/>
    </row>
    <row r="6">
      <c r="A6" s="7">
        <v>4.0</v>
      </c>
      <c r="B6" s="8">
        <v>9.08421001E8</v>
      </c>
      <c r="C6" s="29" t="s">
        <v>532</v>
      </c>
      <c r="D6" s="10">
        <v>2.7210357E7</v>
      </c>
      <c r="E6" s="7">
        <v>2.0</v>
      </c>
      <c r="F6" s="11">
        <v>2.0</v>
      </c>
      <c r="G6" s="12">
        <f t="shared" si="1"/>
        <v>0</v>
      </c>
      <c r="H6" s="13">
        <v>45805.0</v>
      </c>
      <c r="I6" s="14" t="s">
        <v>14</v>
      </c>
      <c r="J6" s="15">
        <v>45806.0</v>
      </c>
      <c r="K6" s="7" t="s">
        <v>283</v>
      </c>
      <c r="L6" s="9"/>
    </row>
    <row r="7">
      <c r="A7" s="7">
        <v>5.0</v>
      </c>
      <c r="B7" s="8">
        <v>9.08371014E8</v>
      </c>
      <c r="C7" s="9" t="s">
        <v>113</v>
      </c>
      <c r="D7" s="10">
        <v>2.7210357E7</v>
      </c>
      <c r="E7" s="7">
        <v>2.0</v>
      </c>
      <c r="F7" s="11">
        <v>2.0</v>
      </c>
      <c r="G7" s="12">
        <f t="shared" si="1"/>
        <v>0</v>
      </c>
      <c r="H7" s="13">
        <v>45805.0</v>
      </c>
      <c r="I7" s="14" t="s">
        <v>14</v>
      </c>
      <c r="J7" s="15">
        <v>45806.0</v>
      </c>
      <c r="K7" s="7" t="s">
        <v>283</v>
      </c>
      <c r="L7" s="9"/>
    </row>
    <row r="8">
      <c r="A8" s="7">
        <v>6.0</v>
      </c>
      <c r="B8" s="8">
        <v>9.0820203E8</v>
      </c>
      <c r="C8" s="9" t="s">
        <v>19</v>
      </c>
      <c r="D8" s="10">
        <v>2.7210357E7</v>
      </c>
      <c r="E8" s="7">
        <v>10.0</v>
      </c>
      <c r="F8" s="11">
        <v>10.0</v>
      </c>
      <c r="G8" s="12">
        <f t="shared" si="1"/>
        <v>0</v>
      </c>
      <c r="H8" s="13">
        <v>45805.0</v>
      </c>
      <c r="I8" s="14" t="s">
        <v>14</v>
      </c>
      <c r="J8" s="15">
        <v>45806.0</v>
      </c>
      <c r="K8" s="7" t="s">
        <v>283</v>
      </c>
      <c r="L8" s="9"/>
    </row>
    <row r="9">
      <c r="A9" s="7">
        <v>7.0</v>
      </c>
      <c r="B9" s="8">
        <v>9.08202189E8</v>
      </c>
      <c r="C9" s="9" t="s">
        <v>55</v>
      </c>
      <c r="D9" s="10">
        <v>2.7210357E7</v>
      </c>
      <c r="E9" s="7">
        <v>2.0</v>
      </c>
      <c r="F9" s="11">
        <v>2.0</v>
      </c>
      <c r="G9" s="12">
        <f t="shared" si="1"/>
        <v>0</v>
      </c>
      <c r="H9" s="13">
        <v>45805.0</v>
      </c>
      <c r="I9" s="14" t="s">
        <v>14</v>
      </c>
      <c r="J9" s="15">
        <v>45806.0</v>
      </c>
      <c r="K9" s="7" t="s">
        <v>283</v>
      </c>
      <c r="L9" s="9"/>
    </row>
    <row r="10">
      <c r="A10" s="7">
        <v>8.0</v>
      </c>
      <c r="B10" s="8">
        <v>9.08020201E8</v>
      </c>
      <c r="C10" s="9" t="s">
        <v>13</v>
      </c>
      <c r="D10" s="10">
        <v>2.7210357E7</v>
      </c>
      <c r="E10" s="7">
        <v>2.0</v>
      </c>
      <c r="F10" s="11">
        <v>6.0</v>
      </c>
      <c r="G10" s="12">
        <f t="shared" si="1"/>
        <v>-4</v>
      </c>
      <c r="H10" s="13">
        <v>45805.0</v>
      </c>
      <c r="I10" s="14" t="s">
        <v>14</v>
      </c>
      <c r="J10" s="15"/>
      <c r="K10" s="7"/>
      <c r="L10" s="9"/>
    </row>
    <row r="11">
      <c r="A11" s="7">
        <v>9.0</v>
      </c>
      <c r="B11" s="8">
        <v>9.08111101E8</v>
      </c>
      <c r="C11" s="9" t="s">
        <v>24</v>
      </c>
      <c r="D11" s="10">
        <v>2.7210357E7</v>
      </c>
      <c r="E11" s="7">
        <v>6.0</v>
      </c>
      <c r="F11" s="11">
        <v>4.0</v>
      </c>
      <c r="G11" s="12">
        <f t="shared" si="1"/>
        <v>2</v>
      </c>
      <c r="H11" s="13">
        <v>45809.0</v>
      </c>
      <c r="I11" s="14" t="s">
        <v>14</v>
      </c>
      <c r="J11" s="15">
        <v>45806.0</v>
      </c>
      <c r="K11" s="7" t="s">
        <v>283</v>
      </c>
      <c r="L11" s="9"/>
    </row>
    <row r="12">
      <c r="A12" s="7"/>
      <c r="B12" s="8"/>
      <c r="C12" s="9"/>
      <c r="D12" s="10"/>
      <c r="E12" s="7"/>
      <c r="F12" s="11"/>
      <c r="G12" s="12"/>
      <c r="H12" s="13" t="s">
        <v>341</v>
      </c>
      <c r="I12" s="14"/>
      <c r="J12" s="15"/>
      <c r="K12" s="7"/>
      <c r="L12" s="9"/>
    </row>
    <row r="13">
      <c r="A13" s="7"/>
      <c r="B13" s="8"/>
      <c r="C13" s="9"/>
      <c r="D13" s="10"/>
      <c r="E13" s="7"/>
      <c r="F13" s="11"/>
      <c r="G13" s="12"/>
      <c r="H13" s="13"/>
      <c r="I13" s="14"/>
      <c r="J13" s="15"/>
      <c r="K13" s="7"/>
      <c r="L13" s="9"/>
    </row>
    <row r="14">
      <c r="A14" s="7"/>
      <c r="B14" s="8"/>
      <c r="C14" s="9"/>
      <c r="D14" s="10"/>
      <c r="E14" s="7"/>
      <c r="F14" s="11"/>
      <c r="G14" s="12"/>
      <c r="H14" s="13"/>
      <c r="I14" s="14"/>
      <c r="J14" s="15"/>
      <c r="K14" s="7"/>
      <c r="L14" s="9"/>
    </row>
    <row r="15">
      <c r="A15" s="7"/>
      <c r="B15" s="8"/>
      <c r="C15" s="9"/>
      <c r="D15" s="10"/>
      <c r="E15" s="7"/>
      <c r="F15" s="11"/>
      <c r="G15" s="12"/>
      <c r="H15" s="13"/>
      <c r="I15" s="14"/>
      <c r="J15" s="15"/>
      <c r="K15" s="7"/>
      <c r="L15" s="9"/>
    </row>
    <row r="16">
      <c r="A16" s="7"/>
      <c r="B16" s="8"/>
      <c r="C16" s="9"/>
      <c r="D16" s="10"/>
      <c r="E16" s="7"/>
      <c r="F16" s="11"/>
      <c r="G16" s="12"/>
      <c r="H16" s="13"/>
      <c r="I16" s="14"/>
      <c r="J16" s="15"/>
      <c r="K16" s="7"/>
      <c r="L16" s="9"/>
    </row>
    <row r="17">
      <c r="A17" s="7"/>
      <c r="B17" s="8"/>
      <c r="C17" s="9"/>
      <c r="D17" s="10"/>
      <c r="E17" s="7"/>
      <c r="F17" s="11"/>
      <c r="G17" s="12"/>
      <c r="H17" s="13"/>
      <c r="I17" s="14"/>
      <c r="J17" s="15"/>
      <c r="K17" s="7"/>
      <c r="L17" s="9"/>
    </row>
    <row r="18">
      <c r="A18" s="7"/>
      <c r="B18" s="8"/>
      <c r="C18" s="9"/>
      <c r="D18" s="10"/>
      <c r="E18" s="7"/>
      <c r="F18" s="11"/>
      <c r="G18" s="12"/>
      <c r="H18" s="13"/>
      <c r="I18" s="14"/>
      <c r="J18" s="15"/>
      <c r="K18" s="7"/>
      <c r="L1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561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3.0" customHeight="1">
      <c r="A3" s="7">
        <v>1.0</v>
      </c>
      <c r="B3" s="7">
        <v>9.08375005E8</v>
      </c>
      <c r="C3" s="7" t="s">
        <v>563</v>
      </c>
      <c r="D3" s="122">
        <v>2.7147613E7</v>
      </c>
      <c r="E3" s="123">
        <v>1.0</v>
      </c>
      <c r="F3" s="124">
        <v>1.0</v>
      </c>
      <c r="G3" s="125">
        <f t="shared" ref="G3:G6" si="1">E3-F3</f>
        <v>0</v>
      </c>
      <c r="H3" s="126">
        <v>45796.0</v>
      </c>
      <c r="I3" s="127" t="s">
        <v>14</v>
      </c>
      <c r="J3" s="126">
        <v>45801.0</v>
      </c>
      <c r="K3" s="38" t="s">
        <v>564</v>
      </c>
      <c r="L3" s="128"/>
    </row>
    <row r="4" ht="39.0" customHeight="1">
      <c r="A4" s="7">
        <v>2.0</v>
      </c>
      <c r="B4" s="7">
        <v>9.08501003E8</v>
      </c>
      <c r="C4" s="7" t="s">
        <v>565</v>
      </c>
      <c r="D4" s="122">
        <v>2.7147613E7</v>
      </c>
      <c r="E4" s="123">
        <v>1.0</v>
      </c>
      <c r="F4" s="124">
        <v>1.0</v>
      </c>
      <c r="G4" s="125">
        <f t="shared" si="1"/>
        <v>0</v>
      </c>
      <c r="H4" s="126">
        <v>45796.0</v>
      </c>
      <c r="I4" s="127" t="s">
        <v>14</v>
      </c>
      <c r="J4" s="126">
        <v>45801.0</v>
      </c>
      <c r="K4" s="38" t="s">
        <v>564</v>
      </c>
      <c r="L4" s="128"/>
    </row>
    <row r="5" ht="62.25" customHeight="1">
      <c r="A5" s="7">
        <v>3.0</v>
      </c>
      <c r="B5" s="7">
        <v>9.08122037E8</v>
      </c>
      <c r="C5" s="7" t="s">
        <v>566</v>
      </c>
      <c r="D5" s="122">
        <v>2.7147613E7</v>
      </c>
      <c r="E5" s="123">
        <v>4.0</v>
      </c>
      <c r="F5" s="124">
        <v>4.0</v>
      </c>
      <c r="G5" s="125">
        <f t="shared" si="1"/>
        <v>0</v>
      </c>
      <c r="H5" s="126">
        <v>45796.0</v>
      </c>
      <c r="I5" s="127" t="s">
        <v>14</v>
      </c>
      <c r="J5" s="126">
        <v>45801.0</v>
      </c>
      <c r="K5" s="38" t="s">
        <v>564</v>
      </c>
      <c r="L5" s="128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0" customHeight="1">
      <c r="A6" s="7">
        <v>4.0</v>
      </c>
      <c r="B6" s="7">
        <v>9.08421006E8</v>
      </c>
      <c r="C6" s="7" t="s">
        <v>567</v>
      </c>
      <c r="D6" s="122">
        <v>2.7147613E7</v>
      </c>
      <c r="E6" s="123">
        <v>1.0</v>
      </c>
      <c r="F6" s="124"/>
      <c r="G6" s="125">
        <f t="shared" si="1"/>
        <v>1</v>
      </c>
      <c r="H6" s="126">
        <v>45796.0</v>
      </c>
      <c r="I6" s="127" t="s">
        <v>14</v>
      </c>
      <c r="J6" s="129"/>
      <c r="K6" s="7"/>
      <c r="L6" s="128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0" customHeight="1">
      <c r="A7" s="7">
        <v>5.0</v>
      </c>
      <c r="B7" s="8"/>
      <c r="C7" s="29"/>
      <c r="D7" s="122"/>
      <c r="E7" s="123"/>
      <c r="F7" s="124"/>
      <c r="G7" s="125"/>
      <c r="H7" s="126"/>
      <c r="I7" s="127"/>
      <c r="J7" s="129"/>
      <c r="K7" s="7"/>
      <c r="L7" s="128"/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568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7.0</v>
      </c>
      <c r="B3" s="8">
        <v>9.08371014E8</v>
      </c>
      <c r="C3" s="9" t="s">
        <v>113</v>
      </c>
      <c r="D3" s="10"/>
      <c r="E3" s="7">
        <v>1.0</v>
      </c>
      <c r="F3" s="11">
        <v>1.0</v>
      </c>
      <c r="G3" s="12">
        <f>E3-F3</f>
        <v>0</v>
      </c>
      <c r="H3" s="13">
        <v>45796.0</v>
      </c>
      <c r="I3" s="19" t="s">
        <v>14</v>
      </c>
      <c r="J3" s="15">
        <v>45799.0</v>
      </c>
      <c r="K3" s="7" t="s">
        <v>564</v>
      </c>
      <c r="L3" s="9"/>
    </row>
    <row r="10">
      <c r="F10" s="18">
        <v>6.0</v>
      </c>
    </row>
    <row r="13">
      <c r="H13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559</v>
      </c>
      <c r="D3" s="16" t="s">
        <v>176</v>
      </c>
      <c r="E3" s="16" t="s">
        <v>570</v>
      </c>
      <c r="F3" s="11"/>
      <c r="G3" s="12">
        <v>0.0</v>
      </c>
      <c r="H3" s="13">
        <v>45792.0</v>
      </c>
      <c r="I3" s="14"/>
      <c r="J3" s="15"/>
      <c r="K3" s="7" t="s">
        <v>294</v>
      </c>
      <c r="L3" s="20" t="s">
        <v>571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9.08402207E8</v>
      </c>
      <c r="C4" s="9" t="s">
        <v>377</v>
      </c>
      <c r="D4" s="16" t="s">
        <v>176</v>
      </c>
      <c r="E4" s="16">
        <v>1.0</v>
      </c>
      <c r="F4" s="11"/>
      <c r="G4" s="12">
        <v>0.0</v>
      </c>
      <c r="H4" s="13">
        <v>45792.0</v>
      </c>
      <c r="I4" s="14"/>
      <c r="J4" s="15"/>
      <c r="K4" s="7" t="s">
        <v>294</v>
      </c>
      <c r="L4" s="20" t="s">
        <v>571</v>
      </c>
    </row>
    <row r="5">
      <c r="A5" s="7">
        <v>3.0</v>
      </c>
      <c r="B5" s="8">
        <v>9.08421001E8</v>
      </c>
      <c r="C5" s="29" t="s">
        <v>532</v>
      </c>
      <c r="D5" s="16" t="s">
        <v>176</v>
      </c>
      <c r="E5" s="16">
        <v>1.0</v>
      </c>
      <c r="F5" s="11"/>
      <c r="G5" s="12">
        <v>0.0</v>
      </c>
      <c r="H5" s="13">
        <v>45792.0</v>
      </c>
      <c r="I5" s="14"/>
      <c r="J5" s="15"/>
      <c r="K5" s="7" t="s">
        <v>294</v>
      </c>
      <c r="L5" s="20" t="s">
        <v>571</v>
      </c>
    </row>
    <row r="6">
      <c r="A6" s="7">
        <v>4.0</v>
      </c>
      <c r="B6" s="9">
        <v>9.08375008E8</v>
      </c>
      <c r="C6" s="9" t="s">
        <v>572</v>
      </c>
      <c r="D6" s="16" t="s">
        <v>176</v>
      </c>
      <c r="E6" s="16">
        <v>1.0</v>
      </c>
      <c r="F6" s="11"/>
      <c r="G6" s="12">
        <v>0.0</v>
      </c>
      <c r="H6" s="13">
        <v>45792.0</v>
      </c>
      <c r="I6" s="14"/>
      <c r="J6" s="15"/>
      <c r="K6" s="7" t="s">
        <v>294</v>
      </c>
      <c r="L6" s="20" t="s">
        <v>571</v>
      </c>
    </row>
    <row r="9">
      <c r="H9" s="18" t="s">
        <v>341</v>
      </c>
    </row>
    <row r="10">
      <c r="F10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573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2.7118664E7</v>
      </c>
      <c r="E3" s="7">
        <v>2.0</v>
      </c>
      <c r="F3" s="11">
        <v>2.0</v>
      </c>
      <c r="G3" s="12">
        <f t="shared" ref="G3:G15" si="1">E3-F3</f>
        <v>0</v>
      </c>
      <c r="H3" s="13">
        <v>45788.0</v>
      </c>
      <c r="I3" s="14" t="s">
        <v>14</v>
      </c>
      <c r="J3" s="15">
        <v>45803.0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9.08122003E8</v>
      </c>
      <c r="C4" s="9" t="s">
        <v>574</v>
      </c>
      <c r="D4" s="10">
        <v>2.7118664E7</v>
      </c>
      <c r="E4" s="7">
        <v>16.0</v>
      </c>
      <c r="F4" s="11"/>
      <c r="G4" s="12">
        <f t="shared" si="1"/>
        <v>16</v>
      </c>
      <c r="H4" s="13">
        <v>45788.0</v>
      </c>
      <c r="I4" s="14" t="s">
        <v>14</v>
      </c>
      <c r="J4" s="15"/>
      <c r="K4" s="7"/>
      <c r="L4" s="9"/>
    </row>
    <row r="5">
      <c r="A5" s="7">
        <v>3.0</v>
      </c>
      <c r="B5" s="8" t="s">
        <v>25</v>
      </c>
      <c r="C5" s="9" t="s">
        <v>26</v>
      </c>
      <c r="D5" s="10">
        <v>2.7118664E7</v>
      </c>
      <c r="E5" s="7">
        <v>129.0</v>
      </c>
      <c r="F5" s="11">
        <v>129.0</v>
      </c>
      <c r="G5" s="12">
        <f t="shared" si="1"/>
        <v>0</v>
      </c>
      <c r="H5" s="13">
        <v>45788.0</v>
      </c>
      <c r="I5" s="14" t="s">
        <v>14</v>
      </c>
      <c r="J5" s="15">
        <v>45803.0</v>
      </c>
      <c r="K5" s="7" t="s">
        <v>283</v>
      </c>
      <c r="L5" s="9"/>
    </row>
    <row r="6">
      <c r="A6" s="7">
        <v>4.0</v>
      </c>
      <c r="B6" s="8">
        <v>9.08421031E8</v>
      </c>
      <c r="C6" s="9" t="s">
        <v>122</v>
      </c>
      <c r="D6" s="10">
        <v>2.8165847E7</v>
      </c>
      <c r="E6" s="7">
        <v>2.0</v>
      </c>
      <c r="F6" s="11">
        <v>2.0</v>
      </c>
      <c r="G6" s="12">
        <f t="shared" si="1"/>
        <v>0</v>
      </c>
      <c r="H6" s="13">
        <v>45992.0</v>
      </c>
      <c r="I6" s="14" t="s">
        <v>14</v>
      </c>
      <c r="J6" s="15">
        <v>45993.0</v>
      </c>
      <c r="K6" s="7" t="s">
        <v>16</v>
      </c>
      <c r="L6" s="9"/>
    </row>
    <row r="7">
      <c r="A7" s="7">
        <v>5.0</v>
      </c>
      <c r="B7" s="8">
        <v>9.08402208E8</v>
      </c>
      <c r="C7" s="9" t="s">
        <v>111</v>
      </c>
      <c r="D7" s="10">
        <v>2.8165847E7</v>
      </c>
      <c r="E7" s="7">
        <v>5.0</v>
      </c>
      <c r="F7" s="11">
        <v>5.0</v>
      </c>
      <c r="G7" s="12">
        <f t="shared" si="1"/>
        <v>0</v>
      </c>
      <c r="H7" s="13">
        <v>45992.0</v>
      </c>
      <c r="I7" s="14" t="s">
        <v>14</v>
      </c>
      <c r="J7" s="15">
        <v>45993.0</v>
      </c>
      <c r="K7" s="7" t="s">
        <v>16</v>
      </c>
      <c r="L7" s="9"/>
    </row>
    <row r="8">
      <c r="A8" s="7">
        <v>6.0</v>
      </c>
      <c r="B8" s="8">
        <v>9.08371012E8</v>
      </c>
      <c r="C8" s="9" t="s">
        <v>150</v>
      </c>
      <c r="D8" s="10">
        <v>2.8165847E7</v>
      </c>
      <c r="E8" s="7">
        <v>5.0</v>
      </c>
      <c r="F8" s="11">
        <v>5.0</v>
      </c>
      <c r="G8" s="12">
        <f t="shared" si="1"/>
        <v>0</v>
      </c>
      <c r="H8" s="13">
        <v>45992.0</v>
      </c>
      <c r="I8" s="14" t="s">
        <v>14</v>
      </c>
      <c r="J8" s="15">
        <v>45993.0</v>
      </c>
      <c r="K8" s="7" t="s">
        <v>16</v>
      </c>
      <c r="L8" s="9"/>
    </row>
    <row r="9">
      <c r="A9" s="7">
        <v>7.0</v>
      </c>
      <c r="B9" s="8">
        <v>9.0820203E8</v>
      </c>
      <c r="C9" s="9" t="s">
        <v>19</v>
      </c>
      <c r="D9" s="10">
        <v>2.8165847E7</v>
      </c>
      <c r="E9" s="7">
        <v>25.0</v>
      </c>
      <c r="F9" s="11"/>
      <c r="G9" s="12">
        <f t="shared" si="1"/>
        <v>25</v>
      </c>
      <c r="H9" s="13">
        <v>45992.0</v>
      </c>
      <c r="I9" s="14" t="s">
        <v>14</v>
      </c>
      <c r="J9" s="15"/>
      <c r="K9" s="7"/>
      <c r="L9" s="9"/>
    </row>
    <row r="10">
      <c r="A10" s="7">
        <v>9.0</v>
      </c>
      <c r="B10" s="8">
        <v>9.08111101E8</v>
      </c>
      <c r="C10" s="9" t="s">
        <v>24</v>
      </c>
      <c r="D10" s="10">
        <v>2.8165847E7</v>
      </c>
      <c r="E10" s="7">
        <v>6.0</v>
      </c>
      <c r="F10" s="11">
        <v>6.0</v>
      </c>
      <c r="G10" s="12">
        <f t="shared" si="1"/>
        <v>0</v>
      </c>
      <c r="H10" s="13">
        <v>45988.0</v>
      </c>
      <c r="I10" s="14" t="s">
        <v>14</v>
      </c>
      <c r="J10" s="15">
        <v>45993.0</v>
      </c>
      <c r="K10" s="7" t="s">
        <v>16</v>
      </c>
      <c r="L10" s="9"/>
    </row>
    <row r="11">
      <c r="A11" s="7">
        <v>10.0</v>
      </c>
      <c r="B11" s="8">
        <v>9.0812201E8</v>
      </c>
      <c r="C11" s="9" t="s">
        <v>80</v>
      </c>
      <c r="D11" s="10">
        <v>2.8165847E7</v>
      </c>
      <c r="E11" s="7">
        <v>16.0</v>
      </c>
      <c r="F11" s="11"/>
      <c r="G11" s="12">
        <f t="shared" si="1"/>
        <v>16</v>
      </c>
      <c r="H11" s="13">
        <v>45992.0</v>
      </c>
      <c r="I11" s="14" t="s">
        <v>14</v>
      </c>
      <c r="J11" s="15"/>
      <c r="K11" s="7"/>
      <c r="L11" s="9"/>
    </row>
    <row r="12">
      <c r="A12" s="7">
        <v>11.0</v>
      </c>
      <c r="B12" s="8">
        <v>9.08202189E8</v>
      </c>
      <c r="C12" s="9" t="s">
        <v>55</v>
      </c>
      <c r="D12" s="10">
        <v>2.8165847E7</v>
      </c>
      <c r="E12" s="7">
        <v>2.0</v>
      </c>
      <c r="F12" s="11">
        <v>3.0</v>
      </c>
      <c r="G12" s="12">
        <f t="shared" si="1"/>
        <v>-1</v>
      </c>
      <c r="H12" s="13">
        <v>45998.0</v>
      </c>
      <c r="I12" s="14" t="s">
        <v>14</v>
      </c>
      <c r="J12" s="15">
        <v>45993.0</v>
      </c>
      <c r="K12" s="7" t="s">
        <v>16</v>
      </c>
      <c r="L12" s="9"/>
    </row>
    <row r="13">
      <c r="A13" s="7">
        <v>12.0</v>
      </c>
      <c r="B13" s="8" t="s">
        <v>20</v>
      </c>
      <c r="C13" s="9" t="s">
        <v>21</v>
      </c>
      <c r="D13" s="10">
        <v>2.8165847E7</v>
      </c>
      <c r="E13" s="7">
        <v>2.0</v>
      </c>
      <c r="F13" s="11">
        <v>3.0</v>
      </c>
      <c r="G13" s="12">
        <f t="shared" si="1"/>
        <v>-1</v>
      </c>
      <c r="H13" s="13">
        <v>45992.0</v>
      </c>
      <c r="I13" s="14" t="s">
        <v>14</v>
      </c>
      <c r="J13" s="15">
        <v>45993.0</v>
      </c>
      <c r="K13" s="7" t="s">
        <v>16</v>
      </c>
      <c r="L13" s="9"/>
    </row>
    <row r="14">
      <c r="A14" s="7">
        <v>13.0</v>
      </c>
      <c r="B14" s="8">
        <v>9.08421025E8</v>
      </c>
      <c r="C14" s="9" t="s">
        <v>112</v>
      </c>
      <c r="D14" s="10">
        <v>2.8165847E7</v>
      </c>
      <c r="E14" s="7">
        <v>1.0</v>
      </c>
      <c r="F14" s="11">
        <v>1.0</v>
      </c>
      <c r="G14" s="12">
        <f t="shared" si="1"/>
        <v>0</v>
      </c>
      <c r="H14" s="13">
        <v>45992.0</v>
      </c>
      <c r="I14" s="14" t="s">
        <v>14</v>
      </c>
      <c r="J14" s="15">
        <v>45993.0</v>
      </c>
      <c r="K14" s="7" t="s">
        <v>16</v>
      </c>
      <c r="L14" s="9"/>
    </row>
    <row r="15">
      <c r="A15" s="7">
        <v>14.0</v>
      </c>
      <c r="B15" s="8">
        <v>9.08020201E8</v>
      </c>
      <c r="C15" s="9" t="s">
        <v>13</v>
      </c>
      <c r="D15" s="10">
        <v>2.8165847E7</v>
      </c>
      <c r="E15" s="7">
        <v>1.0</v>
      </c>
      <c r="F15" s="11"/>
      <c r="G15" s="12">
        <f t="shared" si="1"/>
        <v>1</v>
      </c>
      <c r="H15" s="13">
        <v>45998.0</v>
      </c>
      <c r="I15" s="14" t="s">
        <v>14</v>
      </c>
      <c r="J15" s="15"/>
      <c r="K15" s="7"/>
      <c r="L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2.7118702E7</v>
      </c>
      <c r="E3" s="7">
        <v>2.0</v>
      </c>
      <c r="F3" s="11">
        <v>2.0</v>
      </c>
      <c r="G3" s="12">
        <f t="shared" ref="G3:G22" si="1">E3-F3</f>
        <v>0</v>
      </c>
      <c r="H3" s="13">
        <v>45788.0</v>
      </c>
      <c r="I3" s="14" t="s">
        <v>14</v>
      </c>
      <c r="J3" s="30" t="s">
        <v>576</v>
      </c>
      <c r="K3" s="7" t="s">
        <v>577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2.7118702E7</v>
      </c>
      <c r="E4" s="7">
        <v>2.0</v>
      </c>
      <c r="F4" s="11">
        <v>2.0</v>
      </c>
      <c r="G4" s="12">
        <f t="shared" si="1"/>
        <v>0</v>
      </c>
      <c r="H4" s="13">
        <v>45788.0</v>
      </c>
      <c r="I4" s="14" t="s">
        <v>14</v>
      </c>
      <c r="J4" s="15">
        <v>45804.0</v>
      </c>
      <c r="K4" s="7" t="s">
        <v>283</v>
      </c>
      <c r="L4" s="9"/>
    </row>
    <row r="5">
      <c r="A5" s="7">
        <v>3.0</v>
      </c>
      <c r="B5" s="8">
        <v>9.08202098E8</v>
      </c>
      <c r="C5" s="9" t="s">
        <v>22</v>
      </c>
      <c r="D5" s="10">
        <v>2.7118702E7</v>
      </c>
      <c r="E5" s="7">
        <v>2.0</v>
      </c>
      <c r="F5" s="11">
        <v>2.0</v>
      </c>
      <c r="G5" s="12">
        <f t="shared" si="1"/>
        <v>0</v>
      </c>
      <c r="H5" s="13">
        <v>45788.0</v>
      </c>
      <c r="I5" s="14" t="s">
        <v>14</v>
      </c>
      <c r="J5" s="15">
        <v>45804.0</v>
      </c>
      <c r="K5" s="7" t="s">
        <v>283</v>
      </c>
      <c r="L5" s="9"/>
    </row>
    <row r="6">
      <c r="A6" s="7">
        <v>4.0</v>
      </c>
      <c r="B6" s="8">
        <v>9.08122011E8</v>
      </c>
      <c r="C6" s="9" t="s">
        <v>23</v>
      </c>
      <c r="D6" s="10">
        <v>2.7118702E7</v>
      </c>
      <c r="E6" s="7">
        <v>3.0</v>
      </c>
      <c r="F6" s="11">
        <v>3.0</v>
      </c>
      <c r="G6" s="12">
        <f t="shared" si="1"/>
        <v>0</v>
      </c>
      <c r="H6" s="13">
        <v>45788.0</v>
      </c>
      <c r="I6" s="14" t="s">
        <v>14</v>
      </c>
      <c r="J6" s="15">
        <v>45804.0</v>
      </c>
      <c r="K6" s="7" t="s">
        <v>283</v>
      </c>
      <c r="L6" s="9"/>
    </row>
    <row r="7">
      <c r="A7" s="7">
        <v>5.0</v>
      </c>
      <c r="B7" s="8">
        <v>9.0812101E8</v>
      </c>
      <c r="C7" s="9" t="s">
        <v>549</v>
      </c>
      <c r="D7" s="10">
        <v>2.7118702E7</v>
      </c>
      <c r="E7" s="7">
        <v>2.0</v>
      </c>
      <c r="F7" s="11">
        <f>1+1</f>
        <v>2</v>
      </c>
      <c r="G7" s="12">
        <f t="shared" si="1"/>
        <v>0</v>
      </c>
      <c r="H7" s="13">
        <v>45788.0</v>
      </c>
      <c r="I7" s="14" t="s">
        <v>14</v>
      </c>
      <c r="J7" s="30" t="s">
        <v>578</v>
      </c>
      <c r="K7" s="7" t="s">
        <v>283</v>
      </c>
      <c r="L7" s="9"/>
    </row>
    <row r="8">
      <c r="A8" s="7">
        <v>6.0</v>
      </c>
      <c r="B8" s="8">
        <v>9.08020201E8</v>
      </c>
      <c r="C8" s="9" t="s">
        <v>13</v>
      </c>
      <c r="D8" s="10">
        <v>2.7118702E7</v>
      </c>
      <c r="E8" s="7">
        <v>1.0</v>
      </c>
      <c r="F8" s="11"/>
      <c r="G8" s="12">
        <f t="shared" si="1"/>
        <v>1</v>
      </c>
      <c r="H8" s="13">
        <v>45788.0</v>
      </c>
      <c r="I8" s="14" t="s">
        <v>14</v>
      </c>
      <c r="J8" s="15"/>
      <c r="K8" s="7"/>
      <c r="L8" s="9"/>
    </row>
    <row r="9">
      <c r="A9" s="7">
        <v>7.0</v>
      </c>
      <c r="B9" s="8">
        <v>9.0820203E8</v>
      </c>
      <c r="C9" s="9" t="s">
        <v>19</v>
      </c>
      <c r="D9" s="10">
        <v>2.7118702E7</v>
      </c>
      <c r="E9" s="7">
        <v>2.0</v>
      </c>
      <c r="F9" s="11">
        <v>2.0</v>
      </c>
      <c r="G9" s="12">
        <f t="shared" si="1"/>
        <v>0</v>
      </c>
      <c r="H9" s="13">
        <v>45788.0</v>
      </c>
      <c r="I9" s="14" t="s">
        <v>14</v>
      </c>
      <c r="J9" s="15">
        <v>45804.0</v>
      </c>
      <c r="K9" s="7" t="s">
        <v>283</v>
      </c>
      <c r="L9" s="9"/>
    </row>
    <row r="10">
      <c r="A10" s="7">
        <v>8.0</v>
      </c>
      <c r="B10" s="19" t="s">
        <v>103</v>
      </c>
      <c r="C10" s="20" t="s">
        <v>104</v>
      </c>
      <c r="D10" s="10">
        <v>2.7118702E7</v>
      </c>
      <c r="E10" s="7">
        <v>1.0</v>
      </c>
      <c r="F10" s="11">
        <v>6.0</v>
      </c>
      <c r="G10" s="12">
        <f t="shared" si="1"/>
        <v>-5</v>
      </c>
      <c r="H10" s="13">
        <v>45788.0</v>
      </c>
      <c r="I10" s="14" t="s">
        <v>14</v>
      </c>
      <c r="J10" s="15">
        <v>45804.0</v>
      </c>
      <c r="K10" s="7" t="s">
        <v>283</v>
      </c>
      <c r="L10" s="9"/>
    </row>
    <row r="11">
      <c r="A11" s="7">
        <v>9.0</v>
      </c>
      <c r="B11" s="8" t="s">
        <v>25</v>
      </c>
      <c r="C11" s="9" t="s">
        <v>26</v>
      </c>
      <c r="D11" s="10">
        <v>2.7118702E7</v>
      </c>
      <c r="E11" s="7">
        <v>34.0</v>
      </c>
      <c r="F11" s="11">
        <v>22.0</v>
      </c>
      <c r="G11" s="12">
        <f t="shared" si="1"/>
        <v>12</v>
      </c>
      <c r="H11" s="13">
        <v>45785.0</v>
      </c>
      <c r="I11" s="14" t="s">
        <v>14</v>
      </c>
      <c r="J11" s="15">
        <v>45804.0</v>
      </c>
      <c r="K11" s="7" t="s">
        <v>283</v>
      </c>
      <c r="L11" s="9"/>
    </row>
    <row r="12">
      <c r="A12" s="7">
        <v>10.0</v>
      </c>
      <c r="B12" s="8">
        <v>9.08111101E8</v>
      </c>
      <c r="C12" s="9" t="s">
        <v>24</v>
      </c>
      <c r="D12" s="10">
        <v>2.7118702E7</v>
      </c>
      <c r="E12" s="7">
        <v>6.0</v>
      </c>
      <c r="F12" s="11">
        <v>6.0</v>
      </c>
      <c r="G12" s="12">
        <f t="shared" si="1"/>
        <v>0</v>
      </c>
      <c r="H12" s="13">
        <v>45785.0</v>
      </c>
      <c r="I12" s="14" t="s">
        <v>14</v>
      </c>
      <c r="J12" s="15">
        <v>45804.0</v>
      </c>
      <c r="K12" s="7" t="s">
        <v>283</v>
      </c>
      <c r="L12" s="9"/>
    </row>
    <row r="13">
      <c r="A13" s="7">
        <v>11.0</v>
      </c>
      <c r="B13" s="8" t="s">
        <v>27</v>
      </c>
      <c r="C13" s="9" t="s">
        <v>28</v>
      </c>
      <c r="D13" s="10">
        <v>2.7118702E7</v>
      </c>
      <c r="E13" s="7">
        <v>142.0</v>
      </c>
      <c r="F13" s="11">
        <v>132.0</v>
      </c>
      <c r="G13" s="12">
        <f t="shared" si="1"/>
        <v>10</v>
      </c>
      <c r="H13" s="13">
        <v>45785.0</v>
      </c>
      <c r="I13" s="14" t="s">
        <v>14</v>
      </c>
      <c r="J13" s="15">
        <v>45805.0</v>
      </c>
      <c r="K13" s="7" t="s">
        <v>283</v>
      </c>
      <c r="L13" s="9"/>
    </row>
    <row r="14">
      <c r="A14" s="7">
        <v>12.0</v>
      </c>
      <c r="B14" s="8">
        <v>9.08421025E8</v>
      </c>
      <c r="C14" s="20" t="s">
        <v>112</v>
      </c>
      <c r="D14" s="10">
        <v>2.7500537E7</v>
      </c>
      <c r="E14" s="7">
        <v>2.0</v>
      </c>
      <c r="F14" s="11">
        <v>2.0</v>
      </c>
      <c r="G14" s="12">
        <f t="shared" si="1"/>
        <v>0</v>
      </c>
      <c r="H14" s="13">
        <v>45869.0</v>
      </c>
      <c r="I14" s="14" t="s">
        <v>14</v>
      </c>
      <c r="J14" s="15">
        <v>45871.0</v>
      </c>
      <c r="K14" s="7" t="s">
        <v>283</v>
      </c>
      <c r="L14" s="9"/>
    </row>
    <row r="15">
      <c r="A15" s="7">
        <v>13.0</v>
      </c>
      <c r="B15" s="8">
        <v>9.08402208E8</v>
      </c>
      <c r="C15" s="20" t="s">
        <v>111</v>
      </c>
      <c r="D15" s="10">
        <v>2.7500537E7</v>
      </c>
      <c r="E15" s="7">
        <v>2.0</v>
      </c>
      <c r="F15" s="11">
        <v>2.0</v>
      </c>
      <c r="G15" s="12">
        <f t="shared" si="1"/>
        <v>0</v>
      </c>
      <c r="H15" s="13">
        <v>45869.0</v>
      </c>
      <c r="I15" s="14" t="s">
        <v>14</v>
      </c>
      <c r="J15" s="15">
        <v>45871.0</v>
      </c>
      <c r="K15" s="7" t="s">
        <v>283</v>
      </c>
      <c r="L15" s="9"/>
    </row>
    <row r="16">
      <c r="A16" s="7">
        <v>14.0</v>
      </c>
      <c r="B16" s="8">
        <v>9.08371014E8</v>
      </c>
      <c r="C16" s="20" t="s">
        <v>113</v>
      </c>
      <c r="D16" s="10">
        <v>2.7500537E7</v>
      </c>
      <c r="E16" s="7">
        <v>2.0</v>
      </c>
      <c r="F16" s="11">
        <v>2.0</v>
      </c>
      <c r="G16" s="12">
        <f t="shared" si="1"/>
        <v>0</v>
      </c>
      <c r="H16" s="13">
        <v>45869.0</v>
      </c>
      <c r="I16" s="14" t="s">
        <v>14</v>
      </c>
      <c r="J16" s="15">
        <v>45871.0</v>
      </c>
      <c r="K16" s="7" t="s">
        <v>283</v>
      </c>
      <c r="L16" s="9"/>
    </row>
    <row r="17">
      <c r="A17" s="7">
        <v>15.0</v>
      </c>
      <c r="B17" s="8">
        <v>9.08111101E8</v>
      </c>
      <c r="C17" s="20" t="s">
        <v>24</v>
      </c>
      <c r="D17" s="10">
        <v>2.7500537E7</v>
      </c>
      <c r="E17" s="7">
        <v>6.0</v>
      </c>
      <c r="F17" s="11">
        <v>4.0</v>
      </c>
      <c r="G17" s="12">
        <f t="shared" si="1"/>
        <v>2</v>
      </c>
      <c r="H17" s="13">
        <v>45873.0</v>
      </c>
      <c r="I17" s="14" t="s">
        <v>14</v>
      </c>
      <c r="J17" s="15">
        <v>45871.0</v>
      </c>
      <c r="K17" s="7" t="s">
        <v>283</v>
      </c>
      <c r="L17" s="9"/>
    </row>
    <row r="18">
      <c r="A18" s="7">
        <v>16.0</v>
      </c>
      <c r="B18" s="8">
        <v>9.0812201E8</v>
      </c>
      <c r="C18" s="20" t="s">
        <v>80</v>
      </c>
      <c r="D18" s="10">
        <v>2.7500537E7</v>
      </c>
      <c r="E18" s="7">
        <v>8.0</v>
      </c>
      <c r="F18" s="11"/>
      <c r="G18" s="12">
        <f t="shared" si="1"/>
        <v>8</v>
      </c>
      <c r="H18" s="13">
        <v>45869.0</v>
      </c>
      <c r="I18" s="14" t="s">
        <v>14</v>
      </c>
      <c r="J18" s="15"/>
      <c r="K18" s="7"/>
      <c r="L18" s="9"/>
    </row>
    <row r="19">
      <c r="A19" s="7">
        <v>17.0</v>
      </c>
      <c r="B19" s="8">
        <v>9.08202189E8</v>
      </c>
      <c r="C19" s="20" t="s">
        <v>55</v>
      </c>
      <c r="D19" s="10">
        <v>2.7500537E7</v>
      </c>
      <c r="E19" s="7">
        <v>2.0</v>
      </c>
      <c r="F19" s="11">
        <v>2.0</v>
      </c>
      <c r="G19" s="12">
        <f t="shared" si="1"/>
        <v>0</v>
      </c>
      <c r="H19" s="13">
        <v>45869.0</v>
      </c>
      <c r="I19" s="14" t="s">
        <v>14</v>
      </c>
      <c r="J19" s="15">
        <v>45871.0</v>
      </c>
      <c r="K19" s="7" t="s">
        <v>283</v>
      </c>
      <c r="L19" s="9"/>
    </row>
    <row r="20">
      <c r="A20" s="7">
        <v>18.0</v>
      </c>
      <c r="B20" s="19" t="s">
        <v>20</v>
      </c>
      <c r="C20" s="20" t="s">
        <v>21</v>
      </c>
      <c r="D20" s="10">
        <v>2.7500537E7</v>
      </c>
      <c r="E20" s="7">
        <v>2.0</v>
      </c>
      <c r="F20" s="11">
        <v>2.0</v>
      </c>
      <c r="G20" s="12">
        <f t="shared" si="1"/>
        <v>0</v>
      </c>
      <c r="H20" s="13">
        <v>45869.0</v>
      </c>
      <c r="I20" s="14" t="s">
        <v>14</v>
      </c>
      <c r="J20" s="15">
        <v>45871.0</v>
      </c>
      <c r="K20" s="7" t="s">
        <v>283</v>
      </c>
      <c r="L20" s="9"/>
    </row>
    <row r="21" ht="15.75" customHeight="1">
      <c r="A21" s="7">
        <v>19.0</v>
      </c>
      <c r="B21" s="8">
        <v>9.0820203E8</v>
      </c>
      <c r="C21" s="9" t="s">
        <v>19</v>
      </c>
      <c r="D21" s="10">
        <v>2.7500537E7</v>
      </c>
      <c r="E21" s="7">
        <v>10.0</v>
      </c>
      <c r="F21" s="11"/>
      <c r="G21" s="12">
        <f t="shared" si="1"/>
        <v>10</v>
      </c>
      <c r="H21" s="13">
        <v>45869.0</v>
      </c>
      <c r="I21" s="14" t="s">
        <v>14</v>
      </c>
      <c r="J21" s="17"/>
      <c r="K21" s="17"/>
      <c r="L21" s="17"/>
    </row>
    <row r="22" ht="15.75" customHeight="1">
      <c r="A22" s="7"/>
      <c r="B22" s="8">
        <v>9.08020201E8</v>
      </c>
      <c r="C22" s="9" t="s">
        <v>13</v>
      </c>
      <c r="D22" s="10">
        <v>2.7500537E7</v>
      </c>
      <c r="E22" s="7">
        <v>2.0</v>
      </c>
      <c r="F22" s="11"/>
      <c r="G22" s="12">
        <f t="shared" si="1"/>
        <v>2</v>
      </c>
      <c r="H22" s="13">
        <v>45869.0</v>
      </c>
      <c r="I22" s="14" t="s">
        <v>14</v>
      </c>
      <c r="J22" s="17"/>
      <c r="K22" s="17"/>
      <c r="L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579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580</v>
      </c>
      <c r="C3" s="20" t="s">
        <v>581</v>
      </c>
      <c r="D3" s="19">
        <v>2.7104107E7</v>
      </c>
      <c r="E3" s="7"/>
      <c r="F3" s="11"/>
      <c r="G3" s="12">
        <f t="shared" ref="G3:G23" si="1">E3-F3</f>
        <v>0</v>
      </c>
      <c r="H3" s="13"/>
      <c r="I3" s="14"/>
      <c r="J3" s="15"/>
      <c r="K3" s="7"/>
      <c r="L3" s="9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9">
        <v>2.7104107E7</v>
      </c>
      <c r="E4" s="7">
        <v>2.0</v>
      </c>
      <c r="F4" s="11">
        <v>2.0</v>
      </c>
      <c r="G4" s="12">
        <f t="shared" si="1"/>
        <v>0</v>
      </c>
      <c r="H4" s="13">
        <v>45785.0</v>
      </c>
      <c r="I4" s="19" t="s">
        <v>14</v>
      </c>
      <c r="J4" s="15">
        <v>45798.0</v>
      </c>
      <c r="K4" s="7" t="s">
        <v>283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19" t="s">
        <v>103</v>
      </c>
      <c r="C5" s="20" t="s">
        <v>104</v>
      </c>
      <c r="D5" s="19">
        <v>2.7104107E7</v>
      </c>
      <c r="E5" s="7">
        <v>1.0</v>
      </c>
      <c r="F5" s="11">
        <v>1.0</v>
      </c>
      <c r="G5" s="12">
        <f t="shared" si="1"/>
        <v>0</v>
      </c>
      <c r="H5" s="13">
        <v>45785.0</v>
      </c>
      <c r="I5" s="19" t="s">
        <v>14</v>
      </c>
      <c r="J5" s="15">
        <v>45798.0</v>
      </c>
      <c r="K5" s="7" t="s">
        <v>283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22</v>
      </c>
      <c r="D6" s="19">
        <v>2.7104107E7</v>
      </c>
      <c r="E6" s="7">
        <v>2.0</v>
      </c>
      <c r="F6" s="11">
        <v>2.0</v>
      </c>
      <c r="G6" s="12">
        <f t="shared" si="1"/>
        <v>0</v>
      </c>
      <c r="H6" s="13">
        <v>45785.0</v>
      </c>
      <c r="I6" s="19" t="s">
        <v>14</v>
      </c>
      <c r="J6" s="15">
        <v>45798.0</v>
      </c>
      <c r="K6" s="7" t="s">
        <v>283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9.08122011E8</v>
      </c>
      <c r="C7" s="9" t="s">
        <v>23</v>
      </c>
      <c r="D7" s="19">
        <v>2.7104107E7</v>
      </c>
      <c r="E7" s="7">
        <v>3.0</v>
      </c>
      <c r="F7" s="11">
        <v>3.0</v>
      </c>
      <c r="G7" s="12">
        <f t="shared" si="1"/>
        <v>0</v>
      </c>
      <c r="H7" s="13">
        <v>45785.0</v>
      </c>
      <c r="I7" s="19" t="s">
        <v>14</v>
      </c>
      <c r="J7" s="15">
        <v>45804.0</v>
      </c>
      <c r="K7" s="7" t="s">
        <v>283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1.5" customHeight="1">
      <c r="A8" s="7">
        <v>6.0</v>
      </c>
      <c r="B8" s="8">
        <v>9.0812101E8</v>
      </c>
      <c r="C8" s="9" t="s">
        <v>450</v>
      </c>
      <c r="D8" s="19">
        <v>2.7104107E7</v>
      </c>
      <c r="E8" s="7">
        <v>2.0</v>
      </c>
      <c r="F8" s="11">
        <f>1+1</f>
        <v>2</v>
      </c>
      <c r="G8" s="12">
        <f t="shared" si="1"/>
        <v>0</v>
      </c>
      <c r="H8" s="13">
        <v>45785.0</v>
      </c>
      <c r="I8" s="19" t="s">
        <v>14</v>
      </c>
      <c r="J8" s="30" t="s">
        <v>582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19">
        <v>2.7104107E7</v>
      </c>
      <c r="E9" s="7">
        <v>1.0</v>
      </c>
      <c r="F9" s="11">
        <v>1.0</v>
      </c>
      <c r="G9" s="12">
        <f t="shared" si="1"/>
        <v>0</v>
      </c>
      <c r="H9" s="13">
        <v>45785.0</v>
      </c>
      <c r="I9" s="19" t="s">
        <v>14</v>
      </c>
      <c r="J9" s="15"/>
      <c r="K9" s="7"/>
      <c r="L9" s="17"/>
    </row>
    <row r="10">
      <c r="A10" s="7">
        <v>8.0</v>
      </c>
      <c r="B10" s="8">
        <v>9.0820203E8</v>
      </c>
      <c r="C10" s="9" t="s">
        <v>19</v>
      </c>
      <c r="D10" s="19">
        <v>2.7104107E7</v>
      </c>
      <c r="E10" s="7">
        <v>2.0</v>
      </c>
      <c r="F10" s="11">
        <v>6.0</v>
      </c>
      <c r="G10" s="12">
        <f t="shared" si="1"/>
        <v>-4</v>
      </c>
      <c r="H10" s="13">
        <v>45785.0</v>
      </c>
      <c r="I10" s="19" t="s">
        <v>14</v>
      </c>
      <c r="J10" s="15">
        <v>45798.0</v>
      </c>
      <c r="K10" s="7" t="s">
        <v>283</v>
      </c>
      <c r="L10" s="17"/>
    </row>
    <row r="11">
      <c r="A11" s="7">
        <v>9.0</v>
      </c>
      <c r="B11" s="8" t="s">
        <v>27</v>
      </c>
      <c r="C11" s="9" t="s">
        <v>28</v>
      </c>
      <c r="D11" s="19">
        <v>2.7104107E7</v>
      </c>
      <c r="E11" s="7">
        <v>68.0</v>
      </c>
      <c r="F11" s="11">
        <v>70.0</v>
      </c>
      <c r="G11" s="12">
        <f t="shared" si="1"/>
        <v>-2</v>
      </c>
      <c r="H11" s="13"/>
      <c r="I11" s="19"/>
      <c r="J11" s="15">
        <v>45798.0</v>
      </c>
      <c r="K11" s="7" t="s">
        <v>283</v>
      </c>
      <c r="L11" s="17"/>
    </row>
    <row r="12">
      <c r="A12" s="7">
        <v>10.0</v>
      </c>
      <c r="B12" s="8" t="s">
        <v>25</v>
      </c>
      <c r="C12" s="9" t="s">
        <v>26</v>
      </c>
      <c r="D12" s="19">
        <v>2.7104107E7</v>
      </c>
      <c r="E12" s="7">
        <v>30.0</v>
      </c>
      <c r="F12" s="11">
        <v>30.0</v>
      </c>
      <c r="G12" s="12">
        <f t="shared" si="1"/>
        <v>0</v>
      </c>
      <c r="H12" s="109"/>
      <c r="I12" s="19"/>
      <c r="J12" s="15">
        <v>45798.0</v>
      </c>
      <c r="K12" s="7" t="s">
        <v>283</v>
      </c>
      <c r="L12" s="17"/>
    </row>
    <row r="13">
      <c r="A13" s="7">
        <v>11.0</v>
      </c>
      <c r="B13" s="8">
        <v>9.08111101E8</v>
      </c>
      <c r="C13" s="9" t="s">
        <v>24</v>
      </c>
      <c r="D13" s="19">
        <v>2.7104107E7</v>
      </c>
      <c r="E13" s="7">
        <v>6.0</v>
      </c>
      <c r="F13" s="11">
        <v>6.0</v>
      </c>
      <c r="G13" s="12">
        <f t="shared" si="1"/>
        <v>0</v>
      </c>
      <c r="H13" s="109">
        <v>45873.0</v>
      </c>
      <c r="I13" s="19" t="s">
        <v>14</v>
      </c>
      <c r="J13" s="15">
        <v>45798.0</v>
      </c>
      <c r="K13" s="7" t="s">
        <v>283</v>
      </c>
      <c r="L13" s="17"/>
    </row>
    <row r="14">
      <c r="A14" s="7">
        <v>12.0</v>
      </c>
      <c r="B14" s="8">
        <v>9.0812201E8</v>
      </c>
      <c r="C14" s="9" t="s">
        <v>80</v>
      </c>
      <c r="D14" s="19">
        <v>2.7522807E7</v>
      </c>
      <c r="E14" s="7">
        <v>8.0</v>
      </c>
      <c r="F14" s="11"/>
      <c r="G14" s="12">
        <f t="shared" si="1"/>
        <v>8</v>
      </c>
      <c r="H14" s="109">
        <v>45873.0</v>
      </c>
      <c r="I14" s="19" t="s">
        <v>14</v>
      </c>
      <c r="J14" s="15"/>
      <c r="K14" s="7"/>
      <c r="L14" s="17"/>
    </row>
    <row r="15">
      <c r="A15" s="7">
        <v>13.0</v>
      </c>
      <c r="B15" s="8" t="s">
        <v>580</v>
      </c>
      <c r="C15" s="9" t="s">
        <v>581</v>
      </c>
      <c r="D15" s="19">
        <v>2.7522807E7</v>
      </c>
      <c r="E15" s="7">
        <v>2.0</v>
      </c>
      <c r="F15" s="11"/>
      <c r="G15" s="12">
        <f t="shared" si="1"/>
        <v>2</v>
      </c>
      <c r="H15" s="109">
        <v>45873.0</v>
      </c>
      <c r="I15" s="19" t="s">
        <v>14</v>
      </c>
      <c r="J15" s="15"/>
      <c r="K15" s="7"/>
      <c r="L15" s="17"/>
    </row>
    <row r="16">
      <c r="A16" s="7">
        <v>14.0</v>
      </c>
      <c r="B16" s="8" t="s">
        <v>20</v>
      </c>
      <c r="C16" s="9" t="s">
        <v>21</v>
      </c>
      <c r="D16" s="19">
        <v>2.7522807E7</v>
      </c>
      <c r="E16" s="7">
        <v>2.0</v>
      </c>
      <c r="F16" s="11">
        <v>2.0</v>
      </c>
      <c r="G16" s="12">
        <f t="shared" si="1"/>
        <v>0</v>
      </c>
      <c r="H16" s="109">
        <v>45873.0</v>
      </c>
      <c r="I16" s="19" t="s">
        <v>14</v>
      </c>
      <c r="J16" s="15">
        <v>45875.0</v>
      </c>
      <c r="K16" s="7" t="s">
        <v>283</v>
      </c>
      <c r="L16" s="17"/>
    </row>
    <row r="17">
      <c r="A17" s="7">
        <v>16.0</v>
      </c>
      <c r="B17" s="8">
        <v>9.08202189E8</v>
      </c>
      <c r="C17" s="20" t="s">
        <v>55</v>
      </c>
      <c r="D17" s="19">
        <v>2.7522807E7</v>
      </c>
      <c r="E17" s="7">
        <v>2.0</v>
      </c>
      <c r="F17" s="11">
        <v>2.0</v>
      </c>
      <c r="G17" s="12">
        <f t="shared" si="1"/>
        <v>0</v>
      </c>
      <c r="H17" s="109">
        <v>45873.0</v>
      </c>
      <c r="I17" s="19" t="s">
        <v>14</v>
      </c>
      <c r="J17" s="15">
        <v>45875.0</v>
      </c>
      <c r="K17" s="7" t="s">
        <v>283</v>
      </c>
      <c r="L17" s="17"/>
    </row>
    <row r="18">
      <c r="A18" s="7">
        <v>19.0</v>
      </c>
      <c r="B18" s="8">
        <v>9.08020201E8</v>
      </c>
      <c r="C18" s="9" t="s">
        <v>13</v>
      </c>
      <c r="D18" s="19">
        <v>2.7522807E7</v>
      </c>
      <c r="E18" s="7">
        <v>2.0</v>
      </c>
      <c r="F18" s="11"/>
      <c r="G18" s="12">
        <f t="shared" si="1"/>
        <v>2</v>
      </c>
      <c r="H18" s="109">
        <v>45873.0</v>
      </c>
      <c r="I18" s="19" t="s">
        <v>14</v>
      </c>
      <c r="J18" s="15"/>
      <c r="K18" s="7"/>
      <c r="L18" s="17"/>
    </row>
    <row r="19">
      <c r="A19" s="7">
        <v>20.0</v>
      </c>
      <c r="B19" s="8">
        <v>9.0820203E8</v>
      </c>
      <c r="C19" s="9" t="s">
        <v>19</v>
      </c>
      <c r="D19" s="19">
        <v>2.7522807E7</v>
      </c>
      <c r="E19" s="7">
        <v>10.0</v>
      </c>
      <c r="F19" s="11"/>
      <c r="G19" s="12">
        <f t="shared" si="1"/>
        <v>10</v>
      </c>
      <c r="H19" s="109">
        <v>45873.0</v>
      </c>
      <c r="I19" s="19" t="s">
        <v>14</v>
      </c>
      <c r="J19" s="15"/>
      <c r="K19" s="7"/>
      <c r="L19" s="17"/>
    </row>
    <row r="20">
      <c r="A20" s="7">
        <v>23.0</v>
      </c>
      <c r="B20" s="8">
        <v>9.08111101E8</v>
      </c>
      <c r="C20" s="9" t="s">
        <v>24</v>
      </c>
      <c r="D20" s="19">
        <v>2.7522807E7</v>
      </c>
      <c r="E20" s="7">
        <v>6.0</v>
      </c>
      <c r="F20" s="11">
        <v>4.0</v>
      </c>
      <c r="G20" s="12">
        <f t="shared" si="1"/>
        <v>2</v>
      </c>
      <c r="H20" s="109">
        <v>45876.0</v>
      </c>
      <c r="I20" s="19" t="s">
        <v>14</v>
      </c>
      <c r="J20" s="15">
        <v>45875.0</v>
      </c>
      <c r="K20" s="7" t="s">
        <v>283</v>
      </c>
      <c r="L20" s="17"/>
    </row>
    <row r="21" ht="15.75" customHeight="1">
      <c r="A21" s="7">
        <v>24.0</v>
      </c>
      <c r="B21" s="8">
        <v>9.08371014E8</v>
      </c>
      <c r="C21" s="9" t="s">
        <v>113</v>
      </c>
      <c r="D21" s="19">
        <v>2.7522807E7</v>
      </c>
      <c r="E21" s="7">
        <v>2.0</v>
      </c>
      <c r="F21" s="11">
        <v>2.0</v>
      </c>
      <c r="G21" s="12">
        <f t="shared" si="1"/>
        <v>0</v>
      </c>
      <c r="H21" s="109">
        <v>45873.0</v>
      </c>
      <c r="I21" s="19" t="s">
        <v>14</v>
      </c>
      <c r="J21" s="15">
        <v>45875.0</v>
      </c>
      <c r="K21" s="7" t="s">
        <v>283</v>
      </c>
      <c r="L21" s="17"/>
    </row>
    <row r="22" ht="15.75" customHeight="1">
      <c r="A22" s="7">
        <v>25.0</v>
      </c>
      <c r="B22" s="8">
        <v>9.08402208E8</v>
      </c>
      <c r="C22" s="9" t="s">
        <v>111</v>
      </c>
      <c r="D22" s="19">
        <v>2.7522807E7</v>
      </c>
      <c r="E22" s="7">
        <v>2.0</v>
      </c>
      <c r="F22" s="11">
        <v>2.0</v>
      </c>
      <c r="G22" s="12">
        <f t="shared" si="1"/>
        <v>0</v>
      </c>
      <c r="H22" s="109">
        <v>45873.0</v>
      </c>
      <c r="I22" s="19" t="s">
        <v>14</v>
      </c>
      <c r="J22" s="15">
        <v>45875.0</v>
      </c>
      <c r="K22" s="7" t="s">
        <v>283</v>
      </c>
      <c r="L22" s="17"/>
    </row>
    <row r="23" ht="15.75" customHeight="1">
      <c r="A23" s="7">
        <v>26.0</v>
      </c>
      <c r="B23" s="8">
        <v>9.08421025E8</v>
      </c>
      <c r="C23" s="20" t="s">
        <v>112</v>
      </c>
      <c r="D23" s="19">
        <v>2.7522807E7</v>
      </c>
      <c r="E23" s="19">
        <v>2.0</v>
      </c>
      <c r="F23" s="11">
        <v>2.0</v>
      </c>
      <c r="G23" s="12">
        <f t="shared" si="1"/>
        <v>0</v>
      </c>
      <c r="H23" s="109">
        <v>45873.0</v>
      </c>
      <c r="I23" s="19" t="s">
        <v>14</v>
      </c>
      <c r="J23" s="15">
        <v>45875.0</v>
      </c>
      <c r="K23" s="7" t="s">
        <v>283</v>
      </c>
      <c r="L23" s="7"/>
    </row>
    <row r="24" ht="15.75" customHeight="1">
      <c r="A24" s="7"/>
      <c r="B24" s="7"/>
      <c r="C24" s="8"/>
      <c r="D24" s="9"/>
      <c r="E24" s="19"/>
      <c r="F24" s="11"/>
      <c r="G24" s="16"/>
      <c r="H24" s="12"/>
      <c r="I24" s="109"/>
      <c r="J24" s="19"/>
      <c r="K24" s="15"/>
      <c r="L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583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580</v>
      </c>
      <c r="C3" s="20" t="s">
        <v>581</v>
      </c>
      <c r="D3" s="19">
        <v>2.7094647E7</v>
      </c>
      <c r="E3" s="7">
        <v>2.0</v>
      </c>
      <c r="F3" s="11">
        <f>1+1</f>
        <v>2</v>
      </c>
      <c r="G3" s="12">
        <f t="shared" ref="G3:G13" si="1">E3-F3</f>
        <v>0</v>
      </c>
      <c r="H3" s="13">
        <v>45782.0</v>
      </c>
      <c r="I3" s="14" t="s">
        <v>14</v>
      </c>
      <c r="J3" s="30" t="s">
        <v>584</v>
      </c>
      <c r="K3" s="51" t="s">
        <v>585</v>
      </c>
      <c r="L3" s="9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9">
        <v>2.7094647E7</v>
      </c>
      <c r="E4" s="7">
        <v>2.0</v>
      </c>
      <c r="F4" s="11">
        <v>2.0</v>
      </c>
      <c r="G4" s="12">
        <f t="shared" si="1"/>
        <v>0</v>
      </c>
      <c r="H4" s="13">
        <v>45782.0</v>
      </c>
      <c r="I4" s="14" t="s">
        <v>14</v>
      </c>
      <c r="J4" s="15">
        <v>45788.0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19" t="s">
        <v>103</v>
      </c>
      <c r="C5" s="20" t="s">
        <v>104</v>
      </c>
      <c r="D5" s="19">
        <v>2.7094647E7</v>
      </c>
      <c r="E5" s="7">
        <v>1.0</v>
      </c>
      <c r="F5" s="11">
        <v>1.0</v>
      </c>
      <c r="G5" s="12">
        <f t="shared" si="1"/>
        <v>0</v>
      </c>
      <c r="H5" s="13">
        <v>45782.0</v>
      </c>
      <c r="I5" s="14" t="s">
        <v>14</v>
      </c>
      <c r="J5" s="15">
        <v>45788.0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22</v>
      </c>
      <c r="D6" s="19">
        <v>2.7094647E7</v>
      </c>
      <c r="E6" s="7">
        <v>2.0</v>
      </c>
      <c r="F6" s="11">
        <v>2.0</v>
      </c>
      <c r="G6" s="12">
        <f t="shared" si="1"/>
        <v>0</v>
      </c>
      <c r="H6" s="13">
        <v>45782.0</v>
      </c>
      <c r="I6" s="14" t="s">
        <v>14</v>
      </c>
      <c r="J6" s="15">
        <v>45788.0</v>
      </c>
      <c r="K6" s="7" t="s">
        <v>294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9.08122011E8</v>
      </c>
      <c r="C7" s="9" t="s">
        <v>23</v>
      </c>
      <c r="D7" s="19">
        <v>2.7094647E7</v>
      </c>
      <c r="E7" s="7">
        <v>3.0</v>
      </c>
      <c r="F7" s="11">
        <v>3.0</v>
      </c>
      <c r="G7" s="12">
        <f t="shared" si="1"/>
        <v>0</v>
      </c>
      <c r="H7" s="13">
        <v>45782.0</v>
      </c>
      <c r="I7" s="14" t="s">
        <v>14</v>
      </c>
      <c r="J7" s="15">
        <v>45795.0</v>
      </c>
      <c r="K7" s="7" t="s">
        <v>586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1.5" customHeight="1">
      <c r="A8" s="7">
        <v>6.0</v>
      </c>
      <c r="B8" s="8">
        <v>9.0812101E8</v>
      </c>
      <c r="C8" s="9" t="s">
        <v>450</v>
      </c>
      <c r="D8" s="19">
        <v>2.7094647E7</v>
      </c>
      <c r="E8" s="7">
        <v>2.0</v>
      </c>
      <c r="F8" s="11">
        <v>2.0</v>
      </c>
      <c r="G8" s="12">
        <f t="shared" si="1"/>
        <v>0</v>
      </c>
      <c r="H8" s="13">
        <v>45782.0</v>
      </c>
      <c r="I8" s="14" t="s">
        <v>14</v>
      </c>
      <c r="J8" s="15">
        <v>45788.0</v>
      </c>
      <c r="K8" s="7" t="s">
        <v>294</v>
      </c>
      <c r="L8" s="9"/>
    </row>
    <row r="9">
      <c r="A9" s="7">
        <v>7.0</v>
      </c>
      <c r="B9" s="8">
        <v>9.08020201E8</v>
      </c>
      <c r="C9" s="9" t="s">
        <v>13</v>
      </c>
      <c r="D9" s="19">
        <v>2.7094647E7</v>
      </c>
      <c r="E9" s="7">
        <v>1.0</v>
      </c>
      <c r="F9" s="11"/>
      <c r="G9" s="12">
        <f t="shared" si="1"/>
        <v>1</v>
      </c>
      <c r="H9" s="13">
        <v>45782.0</v>
      </c>
      <c r="I9" s="14" t="s">
        <v>14</v>
      </c>
      <c r="J9" s="17"/>
      <c r="K9" s="17"/>
      <c r="L9" s="17"/>
    </row>
    <row r="10">
      <c r="A10" s="7">
        <v>8.0</v>
      </c>
      <c r="B10" s="8">
        <v>9.0820203E8</v>
      </c>
      <c r="C10" s="9" t="s">
        <v>19</v>
      </c>
      <c r="D10" s="19">
        <v>2.7094647E7</v>
      </c>
      <c r="E10" s="7">
        <v>2.0</v>
      </c>
      <c r="F10" s="11">
        <v>6.0</v>
      </c>
      <c r="G10" s="12">
        <f t="shared" si="1"/>
        <v>-4</v>
      </c>
      <c r="H10" s="13">
        <v>45782.0</v>
      </c>
      <c r="I10" s="19" t="s">
        <v>14</v>
      </c>
      <c r="J10" s="15">
        <v>45788.0</v>
      </c>
      <c r="K10" s="7" t="s">
        <v>294</v>
      </c>
      <c r="L10" s="17"/>
    </row>
    <row r="11">
      <c r="A11" s="7">
        <v>9.0</v>
      </c>
      <c r="B11" s="8" t="s">
        <v>27</v>
      </c>
      <c r="C11" s="9" t="s">
        <v>28</v>
      </c>
      <c r="D11" s="19">
        <v>2.7094647E7</v>
      </c>
      <c r="E11" s="7">
        <v>52.0</v>
      </c>
      <c r="F11" s="11">
        <v>52.0</v>
      </c>
      <c r="G11" s="12">
        <f t="shared" si="1"/>
        <v>0</v>
      </c>
      <c r="H11" s="13">
        <v>45784.0</v>
      </c>
      <c r="I11" s="19" t="s">
        <v>14</v>
      </c>
      <c r="J11" s="15">
        <v>45788.0</v>
      </c>
      <c r="K11" s="7" t="s">
        <v>294</v>
      </c>
      <c r="L11" s="17"/>
    </row>
    <row r="12">
      <c r="A12" s="7">
        <v>10.0</v>
      </c>
      <c r="B12" s="8" t="s">
        <v>25</v>
      </c>
      <c r="C12" s="9" t="s">
        <v>26</v>
      </c>
      <c r="D12" s="19">
        <v>2.7094647E7</v>
      </c>
      <c r="E12" s="7">
        <v>34.0</v>
      </c>
      <c r="F12" s="11">
        <v>34.0</v>
      </c>
      <c r="G12" s="12">
        <f t="shared" si="1"/>
        <v>0</v>
      </c>
      <c r="H12" s="109">
        <v>45784.0</v>
      </c>
      <c r="I12" s="19" t="s">
        <v>14</v>
      </c>
      <c r="J12" s="15">
        <v>45788.0</v>
      </c>
      <c r="K12" s="7" t="s">
        <v>294</v>
      </c>
      <c r="L12" s="17"/>
    </row>
    <row r="13">
      <c r="A13" s="7">
        <v>11.0</v>
      </c>
      <c r="B13" s="8">
        <v>9.08111101E8</v>
      </c>
      <c r="C13" s="9" t="s">
        <v>24</v>
      </c>
      <c r="D13" s="19">
        <v>2.7094647E7</v>
      </c>
      <c r="E13" s="7">
        <v>6.0</v>
      </c>
      <c r="F13" s="11">
        <v>6.0</v>
      </c>
      <c r="G13" s="12">
        <f t="shared" si="1"/>
        <v>0</v>
      </c>
      <c r="H13" s="109">
        <v>45784.0</v>
      </c>
      <c r="I13" s="19" t="s">
        <v>14</v>
      </c>
      <c r="J13" s="15">
        <v>45788.0</v>
      </c>
      <c r="K13" s="7" t="s">
        <v>294</v>
      </c>
      <c r="L13" s="17"/>
    </row>
    <row r="14">
      <c r="A14" s="7">
        <v>12.0</v>
      </c>
      <c r="B14" s="8">
        <v>9.08020201E8</v>
      </c>
      <c r="C14" s="9" t="s">
        <v>13</v>
      </c>
      <c r="D14" s="19">
        <v>2.7316031E7</v>
      </c>
      <c r="E14" s="7">
        <v>2.0</v>
      </c>
      <c r="F14" s="11"/>
      <c r="G14" s="12">
        <v>2.0</v>
      </c>
      <c r="H14" s="109">
        <v>45833.0</v>
      </c>
      <c r="I14" s="19" t="s">
        <v>14</v>
      </c>
      <c r="J14" s="15"/>
      <c r="K14" s="7"/>
      <c r="L14" s="17"/>
    </row>
    <row r="15">
      <c r="A15" s="7">
        <v>13.0</v>
      </c>
      <c r="B15" s="8">
        <v>9.08122003E8</v>
      </c>
      <c r="C15" s="9" t="s">
        <v>587</v>
      </c>
      <c r="D15" s="19">
        <v>2.7316031E7</v>
      </c>
      <c r="E15" s="7">
        <v>8.0</v>
      </c>
      <c r="F15" s="11">
        <v>8.0</v>
      </c>
      <c r="G15" s="12">
        <f t="shared" ref="G15:G24" si="2">E15-F15</f>
        <v>0</v>
      </c>
      <c r="H15" s="109">
        <v>45833.0</v>
      </c>
      <c r="I15" s="19" t="s">
        <v>14</v>
      </c>
      <c r="J15" s="15">
        <v>45834.0</v>
      </c>
      <c r="K15" s="7" t="s">
        <v>283</v>
      </c>
      <c r="L15" s="17"/>
    </row>
    <row r="16">
      <c r="A16" s="7">
        <v>14.0</v>
      </c>
      <c r="B16" s="8">
        <v>9.0812201E8</v>
      </c>
      <c r="C16" s="9" t="s">
        <v>80</v>
      </c>
      <c r="D16" s="19">
        <v>2.7316031E7</v>
      </c>
      <c r="E16" s="7">
        <v>8.0</v>
      </c>
      <c r="F16" s="11">
        <v>8.0</v>
      </c>
      <c r="G16" s="12">
        <f t="shared" si="2"/>
        <v>0</v>
      </c>
      <c r="H16" s="109">
        <v>45833.0</v>
      </c>
      <c r="I16" s="19" t="s">
        <v>14</v>
      </c>
      <c r="J16" s="15">
        <v>45834.0</v>
      </c>
      <c r="K16" s="7" t="s">
        <v>283</v>
      </c>
      <c r="L16" s="17"/>
    </row>
    <row r="17">
      <c r="A17" s="7">
        <v>15.0</v>
      </c>
      <c r="B17" s="8">
        <v>9.0820203E8</v>
      </c>
      <c r="C17" s="9" t="s">
        <v>19</v>
      </c>
      <c r="D17" s="19">
        <v>2.7316031E7</v>
      </c>
      <c r="E17" s="7">
        <v>15.0</v>
      </c>
      <c r="F17" s="11">
        <v>4.0</v>
      </c>
      <c r="G17" s="12">
        <f t="shared" si="2"/>
        <v>11</v>
      </c>
      <c r="H17" s="109">
        <v>45833.0</v>
      </c>
      <c r="I17" s="19" t="s">
        <v>14</v>
      </c>
      <c r="J17" s="15">
        <v>45834.0</v>
      </c>
      <c r="K17" s="7" t="s">
        <v>283</v>
      </c>
      <c r="L17" s="17"/>
    </row>
    <row r="18">
      <c r="A18" s="7">
        <v>16.0</v>
      </c>
      <c r="B18" s="19" t="s">
        <v>20</v>
      </c>
      <c r="C18" s="20" t="s">
        <v>21</v>
      </c>
      <c r="D18" s="19">
        <v>2.7316031E7</v>
      </c>
      <c r="E18" s="7">
        <v>2.0</v>
      </c>
      <c r="F18" s="11">
        <v>2.0</v>
      </c>
      <c r="G18" s="12">
        <f t="shared" si="2"/>
        <v>0</v>
      </c>
      <c r="H18" s="109">
        <v>45833.0</v>
      </c>
      <c r="I18" s="19" t="s">
        <v>14</v>
      </c>
      <c r="J18" s="15">
        <v>45834.0</v>
      </c>
      <c r="K18" s="7" t="s">
        <v>283</v>
      </c>
      <c r="L18" s="17"/>
    </row>
    <row r="19">
      <c r="A19" s="7">
        <v>17.0</v>
      </c>
      <c r="B19" s="8">
        <v>9.08202189E8</v>
      </c>
      <c r="C19" s="9" t="s">
        <v>55</v>
      </c>
      <c r="D19" s="19">
        <v>2.7316031E7</v>
      </c>
      <c r="E19" s="7">
        <v>2.0</v>
      </c>
      <c r="F19" s="11">
        <v>2.0</v>
      </c>
      <c r="G19" s="12">
        <f t="shared" si="2"/>
        <v>0</v>
      </c>
      <c r="H19" s="109">
        <v>45833.0</v>
      </c>
      <c r="I19" s="19" t="s">
        <v>14</v>
      </c>
      <c r="J19" s="15">
        <v>45834.0</v>
      </c>
      <c r="K19" s="7" t="s">
        <v>283</v>
      </c>
      <c r="L19" s="17"/>
    </row>
    <row r="20">
      <c r="A20" s="7">
        <v>18.0</v>
      </c>
      <c r="B20" s="38">
        <v>9.08371014E8</v>
      </c>
      <c r="C20" s="118" t="s">
        <v>113</v>
      </c>
      <c r="D20" s="19">
        <v>2.7316031E7</v>
      </c>
      <c r="E20" s="7">
        <v>3.0</v>
      </c>
      <c r="F20" s="11">
        <v>3.0</v>
      </c>
      <c r="G20" s="12">
        <f t="shared" si="2"/>
        <v>0</v>
      </c>
      <c r="H20" s="109">
        <v>45833.0</v>
      </c>
      <c r="I20" s="19" t="s">
        <v>14</v>
      </c>
      <c r="J20" s="15">
        <v>45834.0</v>
      </c>
      <c r="K20" s="7" t="s">
        <v>283</v>
      </c>
      <c r="L20" s="17"/>
    </row>
    <row r="21" ht="15.75" customHeight="1">
      <c r="A21" s="7">
        <v>19.0</v>
      </c>
      <c r="B21" s="8">
        <v>9.08402208E8</v>
      </c>
      <c r="C21" s="8" t="s">
        <v>111</v>
      </c>
      <c r="D21" s="19">
        <v>2.7316031E7</v>
      </c>
      <c r="E21" s="7">
        <v>3.0</v>
      </c>
      <c r="F21" s="11">
        <v>3.0</v>
      </c>
      <c r="G21" s="12">
        <f t="shared" si="2"/>
        <v>0</v>
      </c>
      <c r="H21" s="109">
        <v>45833.0</v>
      </c>
      <c r="I21" s="19" t="s">
        <v>14</v>
      </c>
      <c r="J21" s="15">
        <v>45834.0</v>
      </c>
      <c r="K21" s="7" t="s">
        <v>283</v>
      </c>
      <c r="L21" s="17"/>
    </row>
    <row r="22" ht="15.75" customHeight="1">
      <c r="A22" s="7">
        <v>20.0</v>
      </c>
      <c r="B22" s="8">
        <v>9.08421001E8</v>
      </c>
      <c r="C22" s="8" t="s">
        <v>532</v>
      </c>
      <c r="D22" s="19">
        <v>2.7316031E7</v>
      </c>
      <c r="E22" s="7">
        <v>1.0</v>
      </c>
      <c r="F22" s="11">
        <v>1.0</v>
      </c>
      <c r="G22" s="12">
        <f t="shared" si="2"/>
        <v>0</v>
      </c>
      <c r="H22" s="109">
        <v>45833.0</v>
      </c>
      <c r="I22" s="19" t="s">
        <v>14</v>
      </c>
      <c r="J22" s="15">
        <v>45834.0</v>
      </c>
      <c r="K22" s="7" t="s">
        <v>283</v>
      </c>
      <c r="L22" s="17"/>
    </row>
    <row r="23" ht="15.75" customHeight="1">
      <c r="A23" s="7">
        <v>21.0</v>
      </c>
      <c r="B23" s="8">
        <v>9.08421002E8</v>
      </c>
      <c r="C23" s="9" t="s">
        <v>588</v>
      </c>
      <c r="D23" s="19">
        <v>2.7316031E7</v>
      </c>
      <c r="E23" s="7">
        <v>1.0</v>
      </c>
      <c r="F23" s="11">
        <v>1.0</v>
      </c>
      <c r="G23" s="12">
        <f t="shared" si="2"/>
        <v>0</v>
      </c>
      <c r="H23" s="109">
        <v>45833.0</v>
      </c>
      <c r="I23" s="19" t="s">
        <v>14</v>
      </c>
      <c r="J23" s="15">
        <v>45834.0</v>
      </c>
      <c r="K23" s="7" t="s">
        <v>283</v>
      </c>
      <c r="L23" s="17"/>
    </row>
    <row r="24" ht="15.75" customHeight="1">
      <c r="A24" s="7">
        <v>22.0</v>
      </c>
      <c r="B24" s="8">
        <v>9.08111101E8</v>
      </c>
      <c r="C24" s="9" t="s">
        <v>24</v>
      </c>
      <c r="D24" s="19">
        <v>2.7316031E7</v>
      </c>
      <c r="E24" s="7">
        <v>7.0</v>
      </c>
      <c r="F24" s="11">
        <v>4.0</v>
      </c>
      <c r="G24" s="12">
        <f t="shared" si="2"/>
        <v>3</v>
      </c>
      <c r="H24" s="109">
        <v>45833.0</v>
      </c>
      <c r="I24" s="19" t="s">
        <v>14</v>
      </c>
      <c r="J24" s="15">
        <v>45834.0</v>
      </c>
      <c r="K24" s="7" t="s">
        <v>283</v>
      </c>
      <c r="L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589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580</v>
      </c>
      <c r="C3" s="20" t="s">
        <v>581</v>
      </c>
      <c r="D3" s="19">
        <v>2.7094591E7</v>
      </c>
      <c r="E3" s="7">
        <v>2.0</v>
      </c>
      <c r="F3" s="11">
        <f>1+1</f>
        <v>2</v>
      </c>
      <c r="G3" s="12">
        <f t="shared" ref="G3:G25" si="1">E3-F3</f>
        <v>0</v>
      </c>
      <c r="H3" s="13">
        <v>45782.0</v>
      </c>
      <c r="I3" s="14" t="s">
        <v>14</v>
      </c>
      <c r="J3" s="30" t="s">
        <v>590</v>
      </c>
      <c r="K3" s="51" t="s">
        <v>591</v>
      </c>
      <c r="L3" s="9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9">
        <v>2.7094591E7</v>
      </c>
      <c r="E4" s="7">
        <v>2.0</v>
      </c>
      <c r="F4" s="11">
        <v>2.0</v>
      </c>
      <c r="G4" s="12">
        <f t="shared" si="1"/>
        <v>0</v>
      </c>
      <c r="H4" s="13">
        <v>45782.0</v>
      </c>
      <c r="I4" s="14" t="s">
        <v>14</v>
      </c>
      <c r="J4" s="15">
        <v>45791.0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19" t="s">
        <v>103</v>
      </c>
      <c r="C5" s="20" t="s">
        <v>104</v>
      </c>
      <c r="D5" s="19">
        <v>2.7094591E7</v>
      </c>
      <c r="E5" s="7">
        <v>1.0</v>
      </c>
      <c r="F5" s="11">
        <v>1.0</v>
      </c>
      <c r="G5" s="12">
        <f t="shared" si="1"/>
        <v>0</v>
      </c>
      <c r="H5" s="13">
        <v>45782.0</v>
      </c>
      <c r="I5" s="14" t="s">
        <v>14</v>
      </c>
      <c r="J5" s="15">
        <v>45791.0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22</v>
      </c>
      <c r="D6" s="19">
        <v>2.7094591E7</v>
      </c>
      <c r="E6" s="7">
        <v>2.0</v>
      </c>
      <c r="F6" s="11">
        <v>2.0</v>
      </c>
      <c r="G6" s="12">
        <f t="shared" si="1"/>
        <v>0</v>
      </c>
      <c r="H6" s="13">
        <v>45782.0</v>
      </c>
      <c r="I6" s="14" t="s">
        <v>14</v>
      </c>
      <c r="J6" s="15">
        <v>45791.0</v>
      </c>
      <c r="K6" s="7" t="s">
        <v>294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9.08122011E8</v>
      </c>
      <c r="C7" s="9" t="s">
        <v>23</v>
      </c>
      <c r="D7" s="19">
        <v>2.7094591E7</v>
      </c>
      <c r="E7" s="7">
        <v>3.0</v>
      </c>
      <c r="F7" s="11">
        <v>3.0</v>
      </c>
      <c r="G7" s="12">
        <f t="shared" si="1"/>
        <v>0</v>
      </c>
      <c r="H7" s="13">
        <v>45782.0</v>
      </c>
      <c r="I7" s="14" t="s">
        <v>14</v>
      </c>
      <c r="J7" s="15">
        <v>45806.0</v>
      </c>
      <c r="K7" s="7" t="s">
        <v>294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1.5" customHeight="1">
      <c r="A8" s="7">
        <v>6.0</v>
      </c>
      <c r="B8" s="8">
        <v>9.0812101E8</v>
      </c>
      <c r="C8" s="9" t="s">
        <v>450</v>
      </c>
      <c r="D8" s="19">
        <v>2.7094591E7</v>
      </c>
      <c r="E8" s="7">
        <v>2.0</v>
      </c>
      <c r="F8" s="11">
        <v>2.0</v>
      </c>
      <c r="G8" s="12">
        <f t="shared" si="1"/>
        <v>0</v>
      </c>
      <c r="H8" s="13">
        <v>45782.0</v>
      </c>
      <c r="I8" s="14" t="s">
        <v>14</v>
      </c>
      <c r="J8" s="15">
        <v>45791.0</v>
      </c>
      <c r="K8" s="7" t="s">
        <v>294</v>
      </c>
      <c r="L8" s="9"/>
    </row>
    <row r="9">
      <c r="A9" s="7">
        <v>7.0</v>
      </c>
      <c r="B9" s="8">
        <v>9.08020201E8</v>
      </c>
      <c r="C9" s="9" t="s">
        <v>13</v>
      </c>
      <c r="D9" s="19">
        <v>2.7094591E7</v>
      </c>
      <c r="E9" s="7">
        <v>1.0</v>
      </c>
      <c r="F9" s="11">
        <v>1.0</v>
      </c>
      <c r="G9" s="12">
        <f t="shared" si="1"/>
        <v>0</v>
      </c>
      <c r="H9" s="13">
        <v>45782.0</v>
      </c>
      <c r="I9" s="14" t="s">
        <v>14</v>
      </c>
      <c r="J9" s="15">
        <v>45791.0</v>
      </c>
      <c r="K9" s="7" t="s">
        <v>294</v>
      </c>
      <c r="L9" s="17"/>
    </row>
    <row r="10">
      <c r="A10" s="7">
        <v>8.0</v>
      </c>
      <c r="B10" s="8">
        <v>9.0820203E8</v>
      </c>
      <c r="C10" s="9" t="s">
        <v>19</v>
      </c>
      <c r="D10" s="19">
        <v>2.7094591E7</v>
      </c>
      <c r="E10" s="7">
        <v>2.0</v>
      </c>
      <c r="F10" s="11">
        <v>6.0</v>
      </c>
      <c r="G10" s="12">
        <f t="shared" si="1"/>
        <v>-4</v>
      </c>
      <c r="H10" s="13">
        <v>45782.0</v>
      </c>
      <c r="I10" s="19" t="s">
        <v>14</v>
      </c>
      <c r="J10" s="15">
        <v>45791.0</v>
      </c>
      <c r="K10" s="7" t="s">
        <v>294</v>
      </c>
      <c r="L10" s="17"/>
    </row>
    <row r="11">
      <c r="A11" s="7">
        <v>9.0</v>
      </c>
      <c r="B11" s="8" t="s">
        <v>27</v>
      </c>
      <c r="C11" s="9" t="s">
        <v>28</v>
      </c>
      <c r="D11" s="19">
        <v>2.7094591E7</v>
      </c>
      <c r="E11" s="7">
        <v>50.0</v>
      </c>
      <c r="F11" s="11">
        <v>50.0</v>
      </c>
      <c r="G11" s="12">
        <f t="shared" si="1"/>
        <v>0</v>
      </c>
      <c r="H11" s="13">
        <v>45784.0</v>
      </c>
      <c r="I11" s="19" t="s">
        <v>14</v>
      </c>
      <c r="J11" s="15">
        <v>45791.0</v>
      </c>
      <c r="K11" s="7" t="s">
        <v>294</v>
      </c>
      <c r="L11" s="17"/>
    </row>
    <row r="12">
      <c r="A12" s="7">
        <v>10.0</v>
      </c>
      <c r="B12" s="8" t="s">
        <v>25</v>
      </c>
      <c r="C12" s="9" t="s">
        <v>26</v>
      </c>
      <c r="D12" s="19">
        <v>2.7094591E7</v>
      </c>
      <c r="E12" s="7">
        <v>16.0</v>
      </c>
      <c r="F12" s="11">
        <v>16.0</v>
      </c>
      <c r="G12" s="12">
        <f t="shared" si="1"/>
        <v>0</v>
      </c>
      <c r="H12" s="13">
        <v>45784.0</v>
      </c>
      <c r="I12" s="19" t="s">
        <v>14</v>
      </c>
      <c r="J12" s="15">
        <v>45791.0</v>
      </c>
      <c r="K12" s="7" t="s">
        <v>294</v>
      </c>
      <c r="L12" s="17"/>
    </row>
    <row r="13">
      <c r="A13" s="7">
        <v>11.0</v>
      </c>
      <c r="B13" s="8">
        <v>9.08111101E8</v>
      </c>
      <c r="C13" s="9" t="s">
        <v>24</v>
      </c>
      <c r="D13" s="19">
        <v>2.7094591E7</v>
      </c>
      <c r="E13" s="7">
        <v>6.0</v>
      </c>
      <c r="F13" s="11">
        <v>6.0</v>
      </c>
      <c r="G13" s="12">
        <f t="shared" si="1"/>
        <v>0</v>
      </c>
      <c r="H13" s="13">
        <v>45794.0</v>
      </c>
      <c r="I13" s="19" t="s">
        <v>14</v>
      </c>
      <c r="J13" s="15">
        <v>45791.0</v>
      </c>
      <c r="K13" s="7" t="s">
        <v>294</v>
      </c>
      <c r="L13" s="17"/>
    </row>
    <row r="14" ht="30.0" customHeight="1">
      <c r="A14" s="7">
        <v>12.0</v>
      </c>
      <c r="B14" s="8">
        <v>9.08421002E8</v>
      </c>
      <c r="C14" s="20" t="s">
        <v>122</v>
      </c>
      <c r="D14" s="19">
        <v>2.7438322E7</v>
      </c>
      <c r="E14" s="16">
        <v>1.0</v>
      </c>
      <c r="F14" s="11">
        <v>1.0</v>
      </c>
      <c r="G14" s="12">
        <f t="shared" si="1"/>
        <v>0</v>
      </c>
      <c r="H14" s="13">
        <v>45855.0</v>
      </c>
      <c r="I14" s="19" t="s">
        <v>14</v>
      </c>
      <c r="J14" s="15">
        <v>45857.0</v>
      </c>
      <c r="K14" s="7" t="s">
        <v>408</v>
      </c>
      <c r="L14" s="17"/>
    </row>
    <row r="15" ht="30.0" customHeight="1">
      <c r="A15" s="7">
        <v>13.0</v>
      </c>
      <c r="B15" s="8">
        <v>9.08421003E8</v>
      </c>
      <c r="C15" s="20" t="s">
        <v>386</v>
      </c>
      <c r="D15" s="19">
        <v>2.7438322E7</v>
      </c>
      <c r="E15" s="16">
        <v>1.0</v>
      </c>
      <c r="F15" s="11">
        <v>1.0</v>
      </c>
      <c r="G15" s="12">
        <f t="shared" si="1"/>
        <v>0</v>
      </c>
      <c r="H15" s="13">
        <v>45855.0</v>
      </c>
      <c r="I15" s="19" t="s">
        <v>14</v>
      </c>
      <c r="J15" s="15">
        <v>45857.0</v>
      </c>
      <c r="K15" s="7" t="s">
        <v>408</v>
      </c>
      <c r="L15" s="17"/>
    </row>
    <row r="16" ht="30.0" customHeight="1">
      <c r="A16" s="7">
        <v>14.0</v>
      </c>
      <c r="B16" s="8">
        <v>9.08402208E8</v>
      </c>
      <c r="C16" s="20" t="s">
        <v>111</v>
      </c>
      <c r="D16" s="19">
        <v>2.7438322E7</v>
      </c>
      <c r="E16" s="16">
        <v>6.0</v>
      </c>
      <c r="F16" s="11">
        <v>6.0</v>
      </c>
      <c r="G16" s="12">
        <f t="shared" si="1"/>
        <v>0</v>
      </c>
      <c r="H16" s="13">
        <v>45855.0</v>
      </c>
      <c r="I16" s="19" t="s">
        <v>14</v>
      </c>
      <c r="J16" s="15">
        <v>45857.0</v>
      </c>
      <c r="K16" s="7" t="s">
        <v>408</v>
      </c>
      <c r="L16" s="17"/>
    </row>
    <row r="17" ht="30.0" customHeight="1">
      <c r="A17" s="7">
        <v>16.0</v>
      </c>
      <c r="B17" s="8">
        <v>9.08371013E8</v>
      </c>
      <c r="C17" s="20" t="s">
        <v>121</v>
      </c>
      <c r="D17" s="19">
        <v>2.7438322E7</v>
      </c>
      <c r="E17" s="16">
        <v>6.0</v>
      </c>
      <c r="F17" s="11">
        <v>6.0</v>
      </c>
      <c r="G17" s="12">
        <f t="shared" si="1"/>
        <v>0</v>
      </c>
      <c r="H17" s="13">
        <v>45855.0</v>
      </c>
      <c r="I17" s="19" t="s">
        <v>14</v>
      </c>
      <c r="J17" s="15">
        <v>45857.0</v>
      </c>
      <c r="K17" s="7" t="s">
        <v>408</v>
      </c>
      <c r="L17" s="17"/>
    </row>
    <row r="18" ht="30.0" customHeight="1">
      <c r="A18" s="7">
        <v>17.0</v>
      </c>
      <c r="B18" s="8">
        <v>9.0820203E8</v>
      </c>
      <c r="C18" s="20" t="s">
        <v>19</v>
      </c>
      <c r="D18" s="19">
        <v>2.7438322E7</v>
      </c>
      <c r="E18" s="16">
        <v>25.0</v>
      </c>
      <c r="F18" s="11">
        <v>8.0</v>
      </c>
      <c r="G18" s="12">
        <f t="shared" si="1"/>
        <v>17</v>
      </c>
      <c r="H18" s="13">
        <v>45865.0</v>
      </c>
      <c r="I18" s="19" t="s">
        <v>14</v>
      </c>
      <c r="J18" s="15">
        <v>45857.0</v>
      </c>
      <c r="K18" s="7" t="s">
        <v>408</v>
      </c>
      <c r="L18" s="17"/>
    </row>
    <row r="19" ht="30.0" customHeight="1">
      <c r="A19" s="7">
        <v>18.0</v>
      </c>
      <c r="B19" s="8">
        <v>9.08122003E8</v>
      </c>
      <c r="C19" s="20" t="s">
        <v>368</v>
      </c>
      <c r="D19" s="19">
        <v>2.7438322E7</v>
      </c>
      <c r="E19" s="16">
        <v>16.0</v>
      </c>
      <c r="F19" s="11">
        <v>24.0</v>
      </c>
      <c r="G19" s="12">
        <f t="shared" si="1"/>
        <v>-8</v>
      </c>
      <c r="H19" s="13">
        <v>45855.0</v>
      </c>
      <c r="I19" s="19" t="s">
        <v>14</v>
      </c>
      <c r="J19" s="15">
        <v>45857.0</v>
      </c>
      <c r="K19" s="7" t="s">
        <v>408</v>
      </c>
      <c r="L19" s="17"/>
    </row>
    <row r="20" ht="30.0" customHeight="1">
      <c r="A20" s="7">
        <v>19.0</v>
      </c>
      <c r="B20" s="8">
        <v>9.08111101E8</v>
      </c>
      <c r="C20" s="20" t="s">
        <v>24</v>
      </c>
      <c r="D20" s="19">
        <v>2.7438322E7</v>
      </c>
      <c r="E20" s="16">
        <v>8.0</v>
      </c>
      <c r="F20" s="11">
        <v>4.0</v>
      </c>
      <c r="G20" s="12">
        <f t="shared" si="1"/>
        <v>4</v>
      </c>
      <c r="H20" s="13">
        <v>45855.0</v>
      </c>
      <c r="I20" s="19" t="s">
        <v>14</v>
      </c>
      <c r="J20" s="15">
        <v>45857.0</v>
      </c>
      <c r="K20" s="7" t="s">
        <v>408</v>
      </c>
      <c r="L20" s="17"/>
    </row>
    <row r="21" ht="27.0" customHeight="1">
      <c r="A21" s="7">
        <v>20.0</v>
      </c>
      <c r="B21" s="8">
        <v>9.0812201E8</v>
      </c>
      <c r="C21" s="20" t="s">
        <v>80</v>
      </c>
      <c r="D21" s="19">
        <v>2.7438322E7</v>
      </c>
      <c r="E21" s="16">
        <v>16.0</v>
      </c>
      <c r="F21" s="11">
        <v>16.0</v>
      </c>
      <c r="G21" s="12">
        <f t="shared" si="1"/>
        <v>0</v>
      </c>
      <c r="H21" s="13">
        <v>45855.0</v>
      </c>
      <c r="I21" s="19" t="s">
        <v>14</v>
      </c>
      <c r="J21" s="15">
        <v>45857.0</v>
      </c>
      <c r="K21" s="7" t="s">
        <v>408</v>
      </c>
      <c r="L21" s="17"/>
    </row>
    <row r="22" ht="27.0" customHeight="1">
      <c r="A22" s="7">
        <v>21.0</v>
      </c>
      <c r="B22" s="8">
        <v>9.08202189E8</v>
      </c>
      <c r="C22" s="20" t="s">
        <v>55</v>
      </c>
      <c r="D22" s="19">
        <v>2.7438322E7</v>
      </c>
      <c r="E22" s="16">
        <v>2.0</v>
      </c>
      <c r="F22" s="11">
        <v>2.0</v>
      </c>
      <c r="G22" s="12">
        <f t="shared" si="1"/>
        <v>0</v>
      </c>
      <c r="H22" s="13">
        <v>45855.0</v>
      </c>
      <c r="I22" s="19" t="s">
        <v>14</v>
      </c>
      <c r="J22" s="15">
        <v>45857.0</v>
      </c>
      <c r="K22" s="7" t="s">
        <v>408</v>
      </c>
      <c r="L22" s="17"/>
    </row>
    <row r="23" ht="27.0" customHeight="1">
      <c r="A23" s="7">
        <v>22.0</v>
      </c>
      <c r="B23" s="19" t="s">
        <v>20</v>
      </c>
      <c r="C23" s="20" t="s">
        <v>21</v>
      </c>
      <c r="D23" s="19">
        <v>2.7438322E7</v>
      </c>
      <c r="E23" s="16">
        <v>2.0</v>
      </c>
      <c r="F23" s="11">
        <v>2.0</v>
      </c>
      <c r="G23" s="12">
        <f t="shared" si="1"/>
        <v>0</v>
      </c>
      <c r="H23" s="13">
        <v>45855.0</v>
      </c>
      <c r="I23" s="19" t="s">
        <v>14</v>
      </c>
      <c r="J23" s="15">
        <v>45857.0</v>
      </c>
      <c r="K23" s="7" t="s">
        <v>408</v>
      </c>
      <c r="L23" s="17"/>
    </row>
    <row r="24" ht="15.75" customHeight="1">
      <c r="A24" s="7">
        <v>23.0</v>
      </c>
      <c r="B24" s="8">
        <v>9.08421025E8</v>
      </c>
      <c r="C24" s="20" t="s">
        <v>112</v>
      </c>
      <c r="D24" s="19">
        <v>2.7438322E7</v>
      </c>
      <c r="E24" s="16">
        <v>1.0</v>
      </c>
      <c r="F24" s="11"/>
      <c r="G24" s="12">
        <f t="shared" si="1"/>
        <v>1</v>
      </c>
      <c r="H24" s="13">
        <v>45855.0</v>
      </c>
      <c r="I24" s="19" t="s">
        <v>14</v>
      </c>
      <c r="J24" s="17"/>
      <c r="K24" s="17"/>
      <c r="L24" s="17"/>
    </row>
    <row r="25" ht="32.25" customHeight="1">
      <c r="A25" s="7">
        <v>24.0</v>
      </c>
      <c r="B25" s="8">
        <v>9.08020201E8</v>
      </c>
      <c r="C25" s="9" t="s">
        <v>13</v>
      </c>
      <c r="D25" s="19">
        <v>2.7438322E7</v>
      </c>
      <c r="E25" s="16">
        <v>1.0</v>
      </c>
      <c r="F25" s="11"/>
      <c r="G25" s="12">
        <f t="shared" si="1"/>
        <v>1</v>
      </c>
      <c r="H25" s="13">
        <v>45855.0</v>
      </c>
      <c r="I25" s="19" t="s">
        <v>14</v>
      </c>
      <c r="J25" s="17"/>
      <c r="K25" s="17"/>
      <c r="L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592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20</v>
      </c>
      <c r="C3" s="20" t="s">
        <v>21</v>
      </c>
      <c r="D3" s="19">
        <v>2.7086939E7</v>
      </c>
      <c r="E3" s="7">
        <v>2.0</v>
      </c>
      <c r="F3" s="11">
        <v>2.0</v>
      </c>
      <c r="G3" s="12">
        <f t="shared" ref="G3:G25" si="1">E3-F3</f>
        <v>0</v>
      </c>
      <c r="H3" s="13">
        <v>45782.0</v>
      </c>
      <c r="I3" s="14" t="s">
        <v>14</v>
      </c>
      <c r="J3" s="15">
        <v>45803.0</v>
      </c>
      <c r="K3" s="7" t="s">
        <v>283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103</v>
      </c>
      <c r="C4" s="20" t="s">
        <v>104</v>
      </c>
      <c r="D4" s="19">
        <v>2.7086939E7</v>
      </c>
      <c r="E4" s="7">
        <v>1.0</v>
      </c>
      <c r="F4" s="11">
        <v>1.0</v>
      </c>
      <c r="G4" s="12">
        <f t="shared" si="1"/>
        <v>0</v>
      </c>
      <c r="H4" s="13">
        <v>45782.0</v>
      </c>
      <c r="I4" s="14" t="s">
        <v>14</v>
      </c>
      <c r="J4" s="15">
        <v>45803.0</v>
      </c>
      <c r="K4" s="7" t="s">
        <v>283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9.08202098E8</v>
      </c>
      <c r="C5" s="9" t="s">
        <v>22</v>
      </c>
      <c r="D5" s="19">
        <v>2.7086939E7</v>
      </c>
      <c r="E5" s="7">
        <v>2.0</v>
      </c>
      <c r="F5" s="11">
        <v>2.0</v>
      </c>
      <c r="G5" s="12">
        <f t="shared" si="1"/>
        <v>0</v>
      </c>
      <c r="H5" s="13">
        <v>45782.0</v>
      </c>
      <c r="I5" s="14" t="s">
        <v>14</v>
      </c>
      <c r="J5" s="15">
        <v>45803.0</v>
      </c>
      <c r="K5" s="7" t="s">
        <v>283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9.08122011E8</v>
      </c>
      <c r="C6" s="9" t="s">
        <v>23</v>
      </c>
      <c r="D6" s="19">
        <v>2.7086939E7</v>
      </c>
      <c r="E6" s="7">
        <v>3.0</v>
      </c>
      <c r="F6" s="11">
        <v>3.0</v>
      </c>
      <c r="G6" s="12">
        <f t="shared" si="1"/>
        <v>0</v>
      </c>
      <c r="H6" s="13">
        <v>45782.0</v>
      </c>
      <c r="I6" s="14" t="s">
        <v>14</v>
      </c>
      <c r="J6" s="15">
        <v>45811.0</v>
      </c>
      <c r="K6" s="7" t="s">
        <v>283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9.08121008E8</v>
      </c>
      <c r="C7" s="9" t="s">
        <v>593</v>
      </c>
      <c r="D7" s="19">
        <v>2.7086939E7</v>
      </c>
      <c r="E7" s="7">
        <v>2.0</v>
      </c>
      <c r="F7" s="11">
        <v>2.0</v>
      </c>
      <c r="G7" s="12">
        <f t="shared" si="1"/>
        <v>0</v>
      </c>
      <c r="H7" s="13">
        <v>45782.0</v>
      </c>
      <c r="I7" s="14" t="s">
        <v>14</v>
      </c>
      <c r="J7" s="15">
        <v>45803.0</v>
      </c>
      <c r="K7" s="7" t="s">
        <v>283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41.25" customHeight="1">
      <c r="A8" s="7">
        <v>6.0</v>
      </c>
      <c r="B8" s="8">
        <v>9.0812101E8</v>
      </c>
      <c r="C8" s="9" t="s">
        <v>450</v>
      </c>
      <c r="D8" s="19">
        <v>2.7086939E7</v>
      </c>
      <c r="E8" s="7">
        <v>2.0</v>
      </c>
      <c r="F8" s="11">
        <f>1+1</f>
        <v>2</v>
      </c>
      <c r="G8" s="12">
        <f t="shared" si="1"/>
        <v>0</v>
      </c>
      <c r="H8" s="13">
        <v>45782.0</v>
      </c>
      <c r="I8" s="14" t="s">
        <v>14</v>
      </c>
      <c r="J8" s="30" t="s">
        <v>594</v>
      </c>
      <c r="K8" s="7" t="s">
        <v>283</v>
      </c>
      <c r="L8" s="9"/>
    </row>
    <row r="9">
      <c r="A9" s="7">
        <v>7.0</v>
      </c>
      <c r="B9" s="8">
        <v>9.08020201E8</v>
      </c>
      <c r="C9" s="9" t="s">
        <v>13</v>
      </c>
      <c r="D9" s="19">
        <v>2.7086939E7</v>
      </c>
      <c r="E9" s="7">
        <v>1.0</v>
      </c>
      <c r="F9" s="11"/>
      <c r="G9" s="12">
        <f t="shared" si="1"/>
        <v>1</v>
      </c>
      <c r="H9" s="13">
        <v>45782.0</v>
      </c>
      <c r="I9" s="14" t="s">
        <v>14</v>
      </c>
      <c r="J9" s="17"/>
      <c r="K9" s="17"/>
      <c r="L9" s="17"/>
    </row>
    <row r="10">
      <c r="A10" s="7">
        <v>8.0</v>
      </c>
      <c r="B10" s="8">
        <v>9.0820203E8</v>
      </c>
      <c r="C10" s="9" t="s">
        <v>19</v>
      </c>
      <c r="D10" s="19">
        <v>2.7086939E7</v>
      </c>
      <c r="E10" s="7">
        <v>2.0</v>
      </c>
      <c r="F10" s="11">
        <v>6.0</v>
      </c>
      <c r="G10" s="12">
        <f t="shared" si="1"/>
        <v>-4</v>
      </c>
      <c r="H10" s="13">
        <v>45782.0</v>
      </c>
      <c r="I10" s="19" t="s">
        <v>14</v>
      </c>
      <c r="J10" s="15">
        <v>45803.0</v>
      </c>
      <c r="K10" s="7" t="s">
        <v>283</v>
      </c>
      <c r="L10" s="17"/>
    </row>
    <row r="11">
      <c r="A11" s="7">
        <v>9.0</v>
      </c>
      <c r="B11" s="8" t="s">
        <v>27</v>
      </c>
      <c r="C11" s="9" t="s">
        <v>28</v>
      </c>
      <c r="D11" s="19">
        <v>2.7086939E7</v>
      </c>
      <c r="E11" s="7">
        <v>95.0</v>
      </c>
      <c r="F11" s="11">
        <v>61.0</v>
      </c>
      <c r="G11" s="12">
        <f t="shared" si="1"/>
        <v>34</v>
      </c>
      <c r="H11" s="13">
        <v>45784.0</v>
      </c>
      <c r="I11" s="14" t="s">
        <v>14</v>
      </c>
      <c r="J11" s="15">
        <v>45803.0</v>
      </c>
      <c r="K11" s="7" t="s">
        <v>283</v>
      </c>
      <c r="L11" s="17"/>
    </row>
    <row r="12">
      <c r="A12" s="7">
        <v>10.0</v>
      </c>
      <c r="B12" s="8" t="s">
        <v>25</v>
      </c>
      <c r="C12" s="9" t="s">
        <v>26</v>
      </c>
      <c r="D12" s="19">
        <v>2.7086939E7</v>
      </c>
      <c r="E12" s="7">
        <v>64.0</v>
      </c>
      <c r="F12" s="11">
        <v>35.0</v>
      </c>
      <c r="G12" s="12">
        <f t="shared" si="1"/>
        <v>29</v>
      </c>
      <c r="H12" s="13">
        <v>45784.0</v>
      </c>
      <c r="I12" s="19" t="s">
        <v>14</v>
      </c>
      <c r="J12" s="15">
        <v>45803.0</v>
      </c>
      <c r="K12" s="7" t="s">
        <v>283</v>
      </c>
      <c r="L12" s="17"/>
    </row>
    <row r="13">
      <c r="A13" s="7">
        <v>11.0</v>
      </c>
      <c r="B13" s="8">
        <v>9.08111101E8</v>
      </c>
      <c r="C13" s="9" t="s">
        <v>24</v>
      </c>
      <c r="D13" s="19">
        <v>2.7086939E7</v>
      </c>
      <c r="E13" s="7">
        <v>6.0</v>
      </c>
      <c r="F13" s="11">
        <v>6.0</v>
      </c>
      <c r="G13" s="12">
        <f t="shared" si="1"/>
        <v>0</v>
      </c>
      <c r="H13" s="13">
        <v>45782.0</v>
      </c>
      <c r="I13" s="19" t="s">
        <v>14</v>
      </c>
      <c r="J13" s="15">
        <v>45803.0</v>
      </c>
      <c r="K13" s="7" t="s">
        <v>283</v>
      </c>
      <c r="L13" s="17"/>
    </row>
    <row r="14">
      <c r="A14" s="7">
        <v>12.0</v>
      </c>
      <c r="B14" s="8">
        <v>9.08372001E8</v>
      </c>
      <c r="C14" s="9" t="s">
        <v>595</v>
      </c>
      <c r="D14" s="19">
        <v>2.7086939E7</v>
      </c>
      <c r="E14" s="7">
        <v>1.0</v>
      </c>
      <c r="F14" s="11"/>
      <c r="G14" s="12">
        <f t="shared" si="1"/>
        <v>1</v>
      </c>
      <c r="H14" s="13">
        <v>45782.0</v>
      </c>
      <c r="I14" s="19" t="s">
        <v>14</v>
      </c>
      <c r="J14" s="17"/>
      <c r="K14" s="17"/>
      <c r="L14" s="17"/>
    </row>
    <row r="15">
      <c r="A15" s="7">
        <v>13.0</v>
      </c>
      <c r="B15" s="8">
        <v>9.08421031E8</v>
      </c>
      <c r="C15" s="20" t="s">
        <v>122</v>
      </c>
      <c r="D15" s="19">
        <v>2.7595127E7</v>
      </c>
      <c r="E15" s="7">
        <v>1.0</v>
      </c>
      <c r="F15" s="11">
        <v>1.0</v>
      </c>
      <c r="G15" s="12">
        <f t="shared" si="1"/>
        <v>0</v>
      </c>
      <c r="H15" s="13">
        <v>45889.0</v>
      </c>
      <c r="I15" s="19" t="s">
        <v>14</v>
      </c>
      <c r="J15" s="15">
        <v>45890.0</v>
      </c>
      <c r="K15" s="7" t="s">
        <v>283</v>
      </c>
      <c r="L15" s="17"/>
    </row>
    <row r="16">
      <c r="A16" s="7">
        <v>15.0</v>
      </c>
      <c r="B16" s="8">
        <v>9.08402208E8</v>
      </c>
      <c r="C16" s="20" t="s">
        <v>111</v>
      </c>
      <c r="D16" s="19">
        <v>2.7595127E7</v>
      </c>
      <c r="E16" s="7">
        <v>3.0</v>
      </c>
      <c r="F16" s="11">
        <v>3.0</v>
      </c>
      <c r="G16" s="12">
        <f t="shared" si="1"/>
        <v>0</v>
      </c>
      <c r="H16" s="13">
        <v>45889.0</v>
      </c>
      <c r="I16" s="19" t="s">
        <v>14</v>
      </c>
      <c r="J16" s="15">
        <v>45890.0</v>
      </c>
      <c r="K16" s="7" t="s">
        <v>283</v>
      </c>
      <c r="L16" s="17"/>
    </row>
    <row r="17">
      <c r="A17" s="7">
        <v>16.0</v>
      </c>
      <c r="B17" s="8">
        <v>9.08371014E8</v>
      </c>
      <c r="C17" s="20" t="s">
        <v>113</v>
      </c>
      <c r="D17" s="19">
        <v>2.7595127E7</v>
      </c>
      <c r="E17" s="7">
        <v>3.0</v>
      </c>
      <c r="F17" s="11">
        <v>3.0</v>
      </c>
      <c r="G17" s="12">
        <f t="shared" si="1"/>
        <v>0</v>
      </c>
      <c r="H17" s="13">
        <v>45889.0</v>
      </c>
      <c r="I17" s="19" t="s">
        <v>14</v>
      </c>
      <c r="J17" s="15">
        <v>45890.0</v>
      </c>
      <c r="K17" s="7" t="s">
        <v>283</v>
      </c>
      <c r="L17" s="17"/>
    </row>
    <row r="18">
      <c r="A18" s="7">
        <v>17.0</v>
      </c>
      <c r="B18" s="8">
        <v>9.0820203E8</v>
      </c>
      <c r="C18" s="20" t="s">
        <v>19</v>
      </c>
      <c r="D18" s="19">
        <v>2.7595127E7</v>
      </c>
      <c r="E18" s="7">
        <v>15.0</v>
      </c>
      <c r="F18" s="11"/>
      <c r="G18" s="12">
        <f t="shared" si="1"/>
        <v>15</v>
      </c>
      <c r="H18" s="13">
        <v>45889.0</v>
      </c>
      <c r="I18" s="19" t="s">
        <v>14</v>
      </c>
      <c r="J18" s="17"/>
      <c r="K18" s="17"/>
      <c r="L18" s="17"/>
    </row>
    <row r="19">
      <c r="A19" s="7">
        <v>18.0</v>
      </c>
      <c r="B19" s="8">
        <v>9.08122003E8</v>
      </c>
      <c r="C19" s="20" t="s">
        <v>368</v>
      </c>
      <c r="D19" s="19">
        <v>2.7595127E7</v>
      </c>
      <c r="E19" s="7">
        <v>8.0</v>
      </c>
      <c r="F19" s="11"/>
      <c r="G19" s="12">
        <f t="shared" si="1"/>
        <v>8</v>
      </c>
      <c r="H19" s="13">
        <v>45889.0</v>
      </c>
      <c r="I19" s="19" t="s">
        <v>14</v>
      </c>
      <c r="J19" s="17"/>
      <c r="K19" s="17"/>
      <c r="L19" s="17"/>
    </row>
    <row r="20">
      <c r="A20" s="7">
        <v>19.0</v>
      </c>
      <c r="B20" s="8">
        <v>9.08111101E8</v>
      </c>
      <c r="C20" s="20" t="s">
        <v>24</v>
      </c>
      <c r="D20" s="19">
        <v>2.7595127E7</v>
      </c>
      <c r="E20" s="7">
        <v>7.0</v>
      </c>
      <c r="F20" s="11">
        <v>4.0</v>
      </c>
      <c r="G20" s="12">
        <f t="shared" si="1"/>
        <v>3</v>
      </c>
      <c r="H20" s="13">
        <v>45889.0</v>
      </c>
      <c r="I20" s="19" t="s">
        <v>14</v>
      </c>
      <c r="J20" s="15">
        <v>45890.0</v>
      </c>
      <c r="K20" s="7" t="s">
        <v>283</v>
      </c>
      <c r="L20" s="17"/>
    </row>
    <row r="21" ht="15.75" customHeight="1">
      <c r="A21" s="7">
        <v>20.0</v>
      </c>
      <c r="B21" s="8">
        <v>9.0812201E8</v>
      </c>
      <c r="C21" s="20" t="s">
        <v>80</v>
      </c>
      <c r="D21" s="19">
        <v>2.7595127E7</v>
      </c>
      <c r="E21" s="7">
        <v>8.0</v>
      </c>
      <c r="F21" s="11"/>
      <c r="G21" s="12">
        <f t="shared" si="1"/>
        <v>8</v>
      </c>
      <c r="H21" s="13">
        <v>45889.0</v>
      </c>
      <c r="I21" s="19" t="s">
        <v>14</v>
      </c>
      <c r="J21" s="17"/>
      <c r="K21" s="17"/>
      <c r="L21" s="17"/>
    </row>
    <row r="22" ht="15.75" customHeight="1">
      <c r="A22" s="7">
        <v>21.0</v>
      </c>
      <c r="B22" s="8">
        <v>9.08202189E8</v>
      </c>
      <c r="C22" s="20" t="s">
        <v>55</v>
      </c>
      <c r="D22" s="19">
        <v>2.7595127E7</v>
      </c>
      <c r="E22" s="7">
        <v>2.0</v>
      </c>
      <c r="F22" s="11">
        <v>2.0</v>
      </c>
      <c r="G22" s="12">
        <f t="shared" si="1"/>
        <v>0</v>
      </c>
      <c r="H22" s="13">
        <v>45889.0</v>
      </c>
      <c r="I22" s="19" t="s">
        <v>14</v>
      </c>
      <c r="J22" s="15">
        <v>45890.0</v>
      </c>
      <c r="K22" s="7" t="s">
        <v>283</v>
      </c>
      <c r="L22" s="17"/>
    </row>
    <row r="23" ht="15.75" customHeight="1">
      <c r="A23" s="7">
        <v>22.0</v>
      </c>
      <c r="B23" s="19" t="s">
        <v>20</v>
      </c>
      <c r="C23" s="20" t="s">
        <v>21</v>
      </c>
      <c r="D23" s="19">
        <v>2.7595127E7</v>
      </c>
      <c r="E23" s="7">
        <v>1.0</v>
      </c>
      <c r="F23" s="11">
        <v>2.0</v>
      </c>
      <c r="G23" s="12">
        <f t="shared" si="1"/>
        <v>-1</v>
      </c>
      <c r="H23" s="13">
        <v>45889.0</v>
      </c>
      <c r="I23" s="19" t="s">
        <v>14</v>
      </c>
      <c r="J23" s="15">
        <v>45890.0</v>
      </c>
      <c r="K23" s="7" t="s">
        <v>283</v>
      </c>
      <c r="L23" s="17"/>
    </row>
    <row r="24" ht="15.75" customHeight="1">
      <c r="A24" s="7">
        <v>23.0</v>
      </c>
      <c r="B24" s="19">
        <v>9.08421025E8</v>
      </c>
      <c r="C24" s="20" t="s">
        <v>112</v>
      </c>
      <c r="D24" s="19">
        <v>2.7595127E7</v>
      </c>
      <c r="E24" s="7">
        <v>1.0</v>
      </c>
      <c r="F24" s="11">
        <v>1.0</v>
      </c>
      <c r="G24" s="12">
        <f t="shared" si="1"/>
        <v>0</v>
      </c>
      <c r="H24" s="13">
        <v>45889.0</v>
      </c>
      <c r="I24" s="19" t="s">
        <v>14</v>
      </c>
      <c r="J24" s="15">
        <v>45890.0</v>
      </c>
      <c r="K24" s="7" t="s">
        <v>283</v>
      </c>
      <c r="L24" s="17"/>
    </row>
    <row r="25" ht="15.75" customHeight="1">
      <c r="A25" s="7">
        <v>24.0</v>
      </c>
      <c r="B25" s="19">
        <v>9.08020201E8</v>
      </c>
      <c r="C25" s="20" t="s">
        <v>13</v>
      </c>
      <c r="D25" s="19">
        <v>2.7595127E7</v>
      </c>
      <c r="E25" s="7">
        <v>2.0</v>
      </c>
      <c r="F25" s="11"/>
      <c r="G25" s="12">
        <f t="shared" si="1"/>
        <v>2</v>
      </c>
      <c r="H25" s="13">
        <v>45889.0</v>
      </c>
      <c r="I25" s="19" t="s">
        <v>14</v>
      </c>
      <c r="J25" s="17"/>
      <c r="K25" s="17"/>
      <c r="L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4.86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559</v>
      </c>
      <c r="D3" s="10">
        <v>2.6955784E7</v>
      </c>
      <c r="E3" s="7">
        <v>41.0</v>
      </c>
      <c r="F3" s="11">
        <v>41.0</v>
      </c>
      <c r="G3" s="12">
        <v>0.0</v>
      </c>
      <c r="H3" s="13"/>
      <c r="I3" s="14" t="s">
        <v>14</v>
      </c>
      <c r="J3" s="15">
        <v>45784.0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20</v>
      </c>
      <c r="C4" s="20" t="s">
        <v>21</v>
      </c>
      <c r="D4" s="10">
        <v>2.7120107E7</v>
      </c>
      <c r="E4" s="7">
        <v>1.0</v>
      </c>
      <c r="F4" s="11">
        <v>1.0</v>
      </c>
      <c r="G4" s="12">
        <v>0.0</v>
      </c>
      <c r="H4" s="13">
        <v>45788.0</v>
      </c>
      <c r="I4" s="14" t="s">
        <v>14</v>
      </c>
      <c r="J4" s="15">
        <v>45794.0</v>
      </c>
      <c r="K4" s="7" t="s">
        <v>478</v>
      </c>
      <c r="L4" s="9"/>
    </row>
    <row r="5">
      <c r="A5" s="7">
        <v>3.0</v>
      </c>
      <c r="B5" s="8">
        <v>9.08402207E8</v>
      </c>
      <c r="C5" s="9" t="s">
        <v>377</v>
      </c>
      <c r="D5" s="10">
        <v>2.7120107E7</v>
      </c>
      <c r="E5" s="7">
        <v>1.0</v>
      </c>
      <c r="F5" s="11">
        <v>1.0</v>
      </c>
      <c r="G5" s="12">
        <v>0.0</v>
      </c>
      <c r="H5" s="13">
        <v>45788.0</v>
      </c>
      <c r="I5" s="14" t="s">
        <v>14</v>
      </c>
      <c r="J5" s="15">
        <v>45794.0</v>
      </c>
      <c r="K5" s="7" t="s">
        <v>478</v>
      </c>
      <c r="L5" s="9"/>
    </row>
    <row r="6">
      <c r="A6" s="7">
        <v>4.0</v>
      </c>
      <c r="B6" s="8">
        <v>9.08202189E8</v>
      </c>
      <c r="C6" s="9" t="s">
        <v>55</v>
      </c>
      <c r="D6" s="10">
        <v>2.7120107E7</v>
      </c>
      <c r="E6" s="7">
        <v>1.0</v>
      </c>
      <c r="F6" s="11">
        <v>1.0</v>
      </c>
      <c r="G6" s="12">
        <v>0.0</v>
      </c>
      <c r="H6" s="13">
        <v>45788.0</v>
      </c>
      <c r="I6" s="14" t="s">
        <v>14</v>
      </c>
      <c r="J6" s="15">
        <v>45794.0</v>
      </c>
      <c r="K6" s="7" t="s">
        <v>478</v>
      </c>
      <c r="L6" s="9"/>
    </row>
    <row r="7">
      <c r="A7" s="7">
        <v>5.0</v>
      </c>
      <c r="B7" s="8">
        <v>9.0812201E8</v>
      </c>
      <c r="C7" s="9" t="s">
        <v>80</v>
      </c>
      <c r="D7" s="10">
        <v>2.7120107E7</v>
      </c>
      <c r="E7" s="7">
        <v>4.0</v>
      </c>
      <c r="F7" s="11">
        <v>4.0</v>
      </c>
      <c r="G7" s="12">
        <v>0.0</v>
      </c>
      <c r="H7" s="13">
        <v>45788.0</v>
      </c>
      <c r="I7" s="14" t="s">
        <v>14</v>
      </c>
      <c r="J7" s="15">
        <v>45794.0</v>
      </c>
      <c r="K7" s="7" t="s">
        <v>478</v>
      </c>
      <c r="L7" s="9"/>
    </row>
    <row r="8">
      <c r="A8" s="7">
        <v>6.0</v>
      </c>
      <c r="B8" s="8">
        <v>9.08421001E8</v>
      </c>
      <c r="C8" s="29" t="s">
        <v>532</v>
      </c>
      <c r="D8" s="10">
        <v>2.7120107E7</v>
      </c>
      <c r="E8" s="7">
        <v>1.0</v>
      </c>
      <c r="F8" s="11">
        <v>1.0</v>
      </c>
      <c r="G8" s="12">
        <v>0.0</v>
      </c>
      <c r="H8" s="13">
        <v>45788.0</v>
      </c>
      <c r="I8" s="14" t="s">
        <v>14</v>
      </c>
      <c r="J8" s="15">
        <v>45794.0</v>
      </c>
      <c r="K8" s="7" t="s">
        <v>478</v>
      </c>
      <c r="L8" s="9"/>
    </row>
    <row r="9">
      <c r="A9" s="7">
        <v>7.0</v>
      </c>
      <c r="B9" s="8">
        <v>9.0812101E8</v>
      </c>
      <c r="C9" s="9" t="s">
        <v>549</v>
      </c>
      <c r="D9" s="10"/>
      <c r="E9" s="7"/>
      <c r="F9" s="11"/>
      <c r="G9" s="12"/>
      <c r="H9" s="13"/>
      <c r="I9" s="14"/>
      <c r="J9" s="15"/>
      <c r="K9" s="7"/>
      <c r="L9" s="9"/>
    </row>
    <row r="10">
      <c r="A10" s="7">
        <v>8.0</v>
      </c>
      <c r="B10" s="8">
        <v>9.08020201E8</v>
      </c>
      <c r="C10" s="9" t="s">
        <v>13</v>
      </c>
      <c r="D10" s="10">
        <v>2.7120107E7</v>
      </c>
      <c r="E10" s="7">
        <v>1.0</v>
      </c>
      <c r="F10" s="11">
        <v>6.0</v>
      </c>
      <c r="G10" s="12"/>
      <c r="H10" s="13">
        <v>45788.0</v>
      </c>
      <c r="I10" s="14" t="s">
        <v>14</v>
      </c>
      <c r="J10" s="15">
        <v>45794.0</v>
      </c>
      <c r="K10" s="7" t="s">
        <v>478</v>
      </c>
      <c r="L10" s="9"/>
    </row>
    <row r="11">
      <c r="A11" s="7">
        <v>9.0</v>
      </c>
      <c r="B11" s="8">
        <v>9.0820203E8</v>
      </c>
      <c r="C11" s="9" t="s">
        <v>19</v>
      </c>
      <c r="D11" s="10">
        <v>2.7120107E7</v>
      </c>
      <c r="E11" s="7">
        <v>4.0</v>
      </c>
      <c r="F11" s="11">
        <v>4.0</v>
      </c>
      <c r="G11" s="12">
        <v>0.0</v>
      </c>
      <c r="H11" s="13">
        <v>45788.0</v>
      </c>
      <c r="I11" s="14" t="s">
        <v>14</v>
      </c>
      <c r="J11" s="15">
        <v>45794.0</v>
      </c>
      <c r="K11" s="7" t="s">
        <v>478</v>
      </c>
      <c r="L11" s="9"/>
    </row>
    <row r="12">
      <c r="A12" s="7">
        <v>12.0</v>
      </c>
      <c r="B12" s="8">
        <v>9.08111101E8</v>
      </c>
      <c r="C12" s="9" t="s">
        <v>597</v>
      </c>
      <c r="D12" s="10">
        <v>2.7120107E7</v>
      </c>
      <c r="E12" s="7">
        <v>2.0</v>
      </c>
      <c r="F12" s="11">
        <v>2.0</v>
      </c>
      <c r="G12" s="12">
        <v>0.0</v>
      </c>
      <c r="H12" s="13">
        <v>45788.0</v>
      </c>
      <c r="I12" s="14" t="s">
        <v>14</v>
      </c>
      <c r="J12" s="15">
        <v>45794.0</v>
      </c>
      <c r="K12" s="7" t="s">
        <v>478</v>
      </c>
      <c r="L12" s="9"/>
    </row>
    <row r="13">
      <c r="A13" s="7">
        <v>13.0</v>
      </c>
      <c r="B13" s="8">
        <v>9.08370504E8</v>
      </c>
      <c r="C13" s="9" t="s">
        <v>525</v>
      </c>
      <c r="D13" s="10">
        <v>2.7120107E7</v>
      </c>
      <c r="E13" s="7">
        <v>1.0</v>
      </c>
      <c r="F13" s="11"/>
      <c r="G13" s="12"/>
      <c r="H13" s="13">
        <v>45805.0</v>
      </c>
      <c r="I13" s="14" t="s">
        <v>14</v>
      </c>
      <c r="J13" s="15"/>
      <c r="K13" s="7"/>
      <c r="L13" s="9"/>
    </row>
    <row r="15">
      <c r="H15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598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20</v>
      </c>
      <c r="C3" s="20" t="s">
        <v>21</v>
      </c>
      <c r="D3" s="19">
        <v>2.7086349E7</v>
      </c>
      <c r="E3" s="7">
        <v>2.0</v>
      </c>
      <c r="F3" s="11">
        <v>2.0</v>
      </c>
      <c r="G3" s="12">
        <f t="shared" ref="G3:G23" si="1">E3-F3</f>
        <v>0</v>
      </c>
      <c r="H3" s="13">
        <v>45782.0</v>
      </c>
      <c r="I3" s="14" t="s">
        <v>14</v>
      </c>
      <c r="J3" s="15">
        <v>45788.0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103</v>
      </c>
      <c r="C4" s="20" t="s">
        <v>104</v>
      </c>
      <c r="D4" s="19">
        <v>2.7086349E7</v>
      </c>
      <c r="E4" s="7">
        <v>1.0</v>
      </c>
      <c r="F4" s="11">
        <v>1.0</v>
      </c>
      <c r="G4" s="12">
        <f t="shared" si="1"/>
        <v>0</v>
      </c>
      <c r="H4" s="13">
        <v>45782.0</v>
      </c>
      <c r="I4" s="14" t="s">
        <v>14</v>
      </c>
      <c r="J4" s="15">
        <v>45788.0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9.08202098E8</v>
      </c>
      <c r="C5" s="9" t="s">
        <v>22</v>
      </c>
      <c r="D5" s="19">
        <v>2.7086349E7</v>
      </c>
      <c r="E5" s="7">
        <v>2.0</v>
      </c>
      <c r="F5" s="11">
        <v>2.0</v>
      </c>
      <c r="G5" s="12">
        <f t="shared" si="1"/>
        <v>0</v>
      </c>
      <c r="H5" s="13">
        <v>45782.0</v>
      </c>
      <c r="I5" s="14" t="s">
        <v>14</v>
      </c>
      <c r="J5" s="15">
        <v>45788.0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9.08122011E8</v>
      </c>
      <c r="C6" s="9" t="s">
        <v>23</v>
      </c>
      <c r="D6" s="19">
        <v>2.7086349E7</v>
      </c>
      <c r="E6" s="7">
        <v>3.0</v>
      </c>
      <c r="F6" s="11">
        <v>3.0</v>
      </c>
      <c r="G6" s="12">
        <f t="shared" si="1"/>
        <v>0</v>
      </c>
      <c r="H6" s="13">
        <v>45782.0</v>
      </c>
      <c r="I6" s="14" t="s">
        <v>14</v>
      </c>
      <c r="J6" s="15">
        <v>45802.0</v>
      </c>
      <c r="K6" s="7" t="s">
        <v>599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9.08121008E8</v>
      </c>
      <c r="C7" s="9" t="s">
        <v>593</v>
      </c>
      <c r="D7" s="19">
        <v>2.7086349E7</v>
      </c>
      <c r="E7" s="7">
        <v>2.0</v>
      </c>
      <c r="F7" s="11">
        <v>2.0</v>
      </c>
      <c r="G7" s="12">
        <f t="shared" si="1"/>
        <v>0</v>
      </c>
      <c r="H7" s="13">
        <v>45782.0</v>
      </c>
      <c r="I7" s="14" t="s">
        <v>14</v>
      </c>
      <c r="J7" s="15">
        <v>45788.0</v>
      </c>
      <c r="K7" s="7" t="s">
        <v>294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1.5" customHeight="1">
      <c r="A8" s="7">
        <v>6.0</v>
      </c>
      <c r="B8" s="8">
        <v>9.0812101E8</v>
      </c>
      <c r="C8" s="9" t="s">
        <v>549</v>
      </c>
      <c r="D8" s="19">
        <v>2.7086349E7</v>
      </c>
      <c r="E8" s="7">
        <v>2.0</v>
      </c>
      <c r="F8" s="11">
        <f>1+1</f>
        <v>2</v>
      </c>
      <c r="G8" s="12">
        <f t="shared" si="1"/>
        <v>0</v>
      </c>
      <c r="H8" s="13">
        <v>45782.0</v>
      </c>
      <c r="I8" s="14" t="s">
        <v>14</v>
      </c>
      <c r="J8" s="30" t="s">
        <v>600</v>
      </c>
      <c r="K8" s="51" t="s">
        <v>585</v>
      </c>
      <c r="L8" s="9"/>
    </row>
    <row r="9">
      <c r="A9" s="7">
        <v>7.0</v>
      </c>
      <c r="B9" s="8">
        <v>9.08020201E8</v>
      </c>
      <c r="C9" s="9" t="s">
        <v>13</v>
      </c>
      <c r="D9" s="19">
        <v>2.7086349E7</v>
      </c>
      <c r="E9" s="7">
        <v>1.0</v>
      </c>
      <c r="F9" s="11"/>
      <c r="G9" s="12">
        <f t="shared" si="1"/>
        <v>1</v>
      </c>
      <c r="H9" s="13">
        <v>45782.0</v>
      </c>
      <c r="I9" s="14" t="s">
        <v>14</v>
      </c>
      <c r="J9" s="17"/>
      <c r="K9" s="17"/>
      <c r="L9" s="17"/>
    </row>
    <row r="10">
      <c r="A10" s="7">
        <v>8.0</v>
      </c>
      <c r="B10" s="8">
        <v>9.0820203E8</v>
      </c>
      <c r="C10" s="9" t="s">
        <v>19</v>
      </c>
      <c r="D10" s="19">
        <v>2.7086349E7</v>
      </c>
      <c r="E10" s="7">
        <v>2.0</v>
      </c>
      <c r="F10" s="11">
        <v>6.0</v>
      </c>
      <c r="G10" s="12">
        <f t="shared" si="1"/>
        <v>-4</v>
      </c>
      <c r="H10" s="13">
        <v>45782.0</v>
      </c>
      <c r="I10" s="19" t="s">
        <v>14</v>
      </c>
      <c r="J10" s="15">
        <v>45788.0</v>
      </c>
      <c r="K10" s="7" t="s">
        <v>294</v>
      </c>
      <c r="L10" s="17"/>
    </row>
    <row r="11">
      <c r="A11" s="7">
        <v>9.0</v>
      </c>
      <c r="B11" s="8" t="s">
        <v>27</v>
      </c>
      <c r="C11" s="9" t="s">
        <v>28</v>
      </c>
      <c r="D11" s="19">
        <v>2.7086349E7</v>
      </c>
      <c r="E11" s="7">
        <v>85.0</v>
      </c>
      <c r="F11" s="11">
        <v>84.0</v>
      </c>
      <c r="G11" s="12">
        <f t="shared" si="1"/>
        <v>1</v>
      </c>
      <c r="H11" s="13">
        <v>45784.0</v>
      </c>
      <c r="I11" s="19" t="s">
        <v>14</v>
      </c>
      <c r="J11" s="15">
        <v>45788.0</v>
      </c>
      <c r="K11" s="7" t="s">
        <v>294</v>
      </c>
      <c r="L11" s="17"/>
    </row>
    <row r="12">
      <c r="A12" s="7">
        <v>10.0</v>
      </c>
      <c r="B12" s="8" t="s">
        <v>25</v>
      </c>
      <c r="C12" s="9" t="s">
        <v>26</v>
      </c>
      <c r="D12" s="19">
        <v>2.7086349E7</v>
      </c>
      <c r="E12" s="7">
        <v>16.0</v>
      </c>
      <c r="F12" s="11">
        <v>17.0</v>
      </c>
      <c r="G12" s="12">
        <f t="shared" si="1"/>
        <v>-1</v>
      </c>
      <c r="H12" s="13">
        <v>45784.0</v>
      </c>
      <c r="I12" s="19" t="s">
        <v>14</v>
      </c>
      <c r="J12" s="15">
        <v>45788.0</v>
      </c>
      <c r="K12" s="7" t="s">
        <v>294</v>
      </c>
      <c r="L12" s="17"/>
    </row>
    <row r="13">
      <c r="A13" s="7">
        <v>11.0</v>
      </c>
      <c r="B13" s="8">
        <v>9.08111101E8</v>
      </c>
      <c r="C13" s="9" t="s">
        <v>597</v>
      </c>
      <c r="D13" s="19">
        <v>2.7086349E7</v>
      </c>
      <c r="E13" s="7">
        <v>6.0</v>
      </c>
      <c r="F13" s="11">
        <v>6.0</v>
      </c>
      <c r="G13" s="12">
        <f t="shared" si="1"/>
        <v>0</v>
      </c>
      <c r="H13" s="13">
        <v>45784.0</v>
      </c>
      <c r="I13" s="19" t="s">
        <v>14</v>
      </c>
      <c r="J13" s="15">
        <v>45788.0</v>
      </c>
      <c r="K13" s="7" t="s">
        <v>294</v>
      </c>
      <c r="L13" s="17"/>
    </row>
    <row r="14">
      <c r="A14" s="7">
        <v>12.0</v>
      </c>
      <c r="B14" s="8">
        <v>9.08421003E8</v>
      </c>
      <c r="C14" s="8" t="s">
        <v>601</v>
      </c>
      <c r="D14" s="19"/>
      <c r="E14" s="7">
        <v>1.0</v>
      </c>
      <c r="F14" s="11">
        <v>1.0</v>
      </c>
      <c r="G14" s="12">
        <f t="shared" si="1"/>
        <v>0</v>
      </c>
      <c r="H14" s="13">
        <v>45811.0</v>
      </c>
      <c r="I14" s="19" t="s">
        <v>14</v>
      </c>
      <c r="J14" s="15">
        <v>45810.0</v>
      </c>
      <c r="K14" s="7" t="s">
        <v>283</v>
      </c>
      <c r="L14" s="17"/>
    </row>
    <row r="15">
      <c r="A15" s="7">
        <v>13.0</v>
      </c>
      <c r="B15" s="8">
        <v>9.08371013E8</v>
      </c>
      <c r="C15" s="8" t="s">
        <v>121</v>
      </c>
      <c r="D15" s="19">
        <v>2.7224523E7</v>
      </c>
      <c r="E15" s="7">
        <v>5.0</v>
      </c>
      <c r="F15" s="11">
        <v>5.0</v>
      </c>
      <c r="G15" s="12">
        <f t="shared" si="1"/>
        <v>0</v>
      </c>
      <c r="H15" s="13">
        <v>45809.0</v>
      </c>
      <c r="I15" s="19" t="s">
        <v>14</v>
      </c>
      <c r="J15" s="15">
        <v>45810.0</v>
      </c>
      <c r="K15" s="15" t="s">
        <v>283</v>
      </c>
      <c r="L15" s="17"/>
    </row>
    <row r="16">
      <c r="A16" s="7">
        <v>14.0</v>
      </c>
      <c r="B16" s="8">
        <v>9.08402208E8</v>
      </c>
      <c r="C16" s="8" t="s">
        <v>111</v>
      </c>
      <c r="D16" s="19">
        <v>2.7224523E7</v>
      </c>
      <c r="E16" s="7">
        <v>5.0</v>
      </c>
      <c r="F16" s="11">
        <v>5.0</v>
      </c>
      <c r="G16" s="12">
        <f t="shared" si="1"/>
        <v>0</v>
      </c>
      <c r="H16" s="13">
        <v>45809.0</v>
      </c>
      <c r="I16" s="19" t="s">
        <v>14</v>
      </c>
      <c r="J16" s="15">
        <v>45810.0</v>
      </c>
      <c r="K16" s="15" t="s">
        <v>283</v>
      </c>
      <c r="L16" s="17"/>
    </row>
    <row r="17">
      <c r="A17" s="7">
        <v>15.0</v>
      </c>
      <c r="B17" s="8">
        <v>9.08421001E8</v>
      </c>
      <c r="C17" s="8" t="s">
        <v>532</v>
      </c>
      <c r="D17" s="19">
        <v>2.7224523E7</v>
      </c>
      <c r="E17" s="7">
        <v>1.0</v>
      </c>
      <c r="F17" s="11"/>
      <c r="G17" s="12">
        <f t="shared" si="1"/>
        <v>1</v>
      </c>
      <c r="H17" s="13">
        <v>45809.0</v>
      </c>
      <c r="I17" s="19" t="s">
        <v>14</v>
      </c>
      <c r="J17" s="15">
        <v>45810.0</v>
      </c>
      <c r="K17" s="15" t="s">
        <v>283</v>
      </c>
      <c r="L17" s="17"/>
    </row>
    <row r="18">
      <c r="A18" s="7">
        <v>16.0</v>
      </c>
      <c r="B18" s="8">
        <v>9.08111101E8</v>
      </c>
      <c r="C18" s="8" t="s">
        <v>597</v>
      </c>
      <c r="D18" s="19">
        <v>2.7224523E7</v>
      </c>
      <c r="E18" s="7">
        <v>8.0</v>
      </c>
      <c r="F18" s="11">
        <v>4.0</v>
      </c>
      <c r="G18" s="12">
        <f t="shared" si="1"/>
        <v>4</v>
      </c>
      <c r="H18" s="13">
        <v>45809.0</v>
      </c>
      <c r="I18" s="19" t="s">
        <v>14</v>
      </c>
      <c r="J18" s="15">
        <v>45810.0</v>
      </c>
      <c r="K18" s="15" t="s">
        <v>283</v>
      </c>
      <c r="L18" s="17"/>
    </row>
    <row r="19">
      <c r="A19" s="7">
        <v>17.0</v>
      </c>
      <c r="B19" s="8">
        <v>9.08122003E8</v>
      </c>
      <c r="C19" s="8" t="s">
        <v>574</v>
      </c>
      <c r="D19" s="19">
        <v>2.7224523E7</v>
      </c>
      <c r="E19" s="7">
        <v>16.0</v>
      </c>
      <c r="F19" s="11">
        <v>16.0</v>
      </c>
      <c r="G19" s="12">
        <f t="shared" si="1"/>
        <v>0</v>
      </c>
      <c r="H19" s="13">
        <v>45809.0</v>
      </c>
      <c r="I19" s="19" t="s">
        <v>14</v>
      </c>
      <c r="J19" s="15">
        <v>45810.0</v>
      </c>
      <c r="K19" s="15" t="s">
        <v>283</v>
      </c>
      <c r="L19" s="17"/>
    </row>
    <row r="20">
      <c r="A20" s="7">
        <v>18.0</v>
      </c>
      <c r="B20" s="8">
        <v>9.0820203E8</v>
      </c>
      <c r="C20" s="8" t="s">
        <v>454</v>
      </c>
      <c r="D20" s="19">
        <v>2.7224523E7</v>
      </c>
      <c r="E20" s="7">
        <f>6+25</f>
        <v>31</v>
      </c>
      <c r="F20" s="11">
        <v>6.0</v>
      </c>
      <c r="G20" s="12">
        <f t="shared" si="1"/>
        <v>25</v>
      </c>
      <c r="H20" s="13">
        <v>45809.0</v>
      </c>
      <c r="I20" s="19" t="s">
        <v>14</v>
      </c>
      <c r="J20" s="15">
        <v>45810.0</v>
      </c>
      <c r="K20" s="15" t="s">
        <v>283</v>
      </c>
      <c r="L20" s="17"/>
    </row>
    <row r="21" ht="15.75" customHeight="1">
      <c r="A21" s="7">
        <v>19.0</v>
      </c>
      <c r="B21" s="8">
        <v>9.0812201E8</v>
      </c>
      <c r="C21" s="8" t="s">
        <v>80</v>
      </c>
      <c r="D21" s="19">
        <v>2.7224523E7</v>
      </c>
      <c r="E21" s="7">
        <v>16.0</v>
      </c>
      <c r="F21" s="11">
        <v>16.0</v>
      </c>
      <c r="G21" s="12">
        <f t="shared" si="1"/>
        <v>0</v>
      </c>
      <c r="H21" s="13">
        <v>45809.0</v>
      </c>
      <c r="I21" s="19" t="s">
        <v>14</v>
      </c>
      <c r="J21" s="15">
        <v>45810.0</v>
      </c>
      <c r="K21" s="15" t="s">
        <v>283</v>
      </c>
      <c r="L21" s="17"/>
    </row>
    <row r="22" ht="15.75" customHeight="1">
      <c r="A22" s="7">
        <v>20.0</v>
      </c>
      <c r="B22" s="8">
        <v>9.08202189E8</v>
      </c>
      <c r="C22" s="8" t="s">
        <v>602</v>
      </c>
      <c r="D22" s="19">
        <v>2.7224523E7</v>
      </c>
      <c r="E22" s="7">
        <v>2.0</v>
      </c>
      <c r="F22" s="11">
        <v>2.0</v>
      </c>
      <c r="G22" s="12">
        <f t="shared" si="1"/>
        <v>0</v>
      </c>
      <c r="H22" s="13">
        <v>45809.0</v>
      </c>
      <c r="I22" s="19" t="s">
        <v>14</v>
      </c>
      <c r="J22" s="15">
        <v>45810.0</v>
      </c>
      <c r="K22" s="15" t="s">
        <v>283</v>
      </c>
      <c r="L22" s="17"/>
    </row>
    <row r="23" ht="15.75" customHeight="1">
      <c r="A23" s="7">
        <v>21.0</v>
      </c>
      <c r="B23" s="8">
        <v>9.08202054E8</v>
      </c>
      <c r="C23" s="8" t="s">
        <v>603</v>
      </c>
      <c r="D23" s="19">
        <v>2.7224523E7</v>
      </c>
      <c r="E23" s="7">
        <v>4.0</v>
      </c>
      <c r="F23" s="11">
        <v>4.0</v>
      </c>
      <c r="G23" s="12">
        <f t="shared" si="1"/>
        <v>0</v>
      </c>
      <c r="H23" s="13">
        <v>45809.0</v>
      </c>
      <c r="I23" s="19" t="s">
        <v>14</v>
      </c>
      <c r="J23" s="15">
        <v>45810.0</v>
      </c>
      <c r="K23" s="15" t="s">
        <v>283</v>
      </c>
      <c r="L23" s="17"/>
    </row>
    <row r="24" ht="15.75" customHeight="1">
      <c r="A24" s="7">
        <v>22.0</v>
      </c>
      <c r="B24" s="8">
        <v>9.08020201E8</v>
      </c>
      <c r="C24" s="9" t="s">
        <v>13</v>
      </c>
      <c r="D24" s="19">
        <v>2.7224523E7</v>
      </c>
      <c r="E24" s="7">
        <v>1.0</v>
      </c>
      <c r="F24" s="11"/>
      <c r="G24" s="121">
        <v>1.0</v>
      </c>
      <c r="H24" s="13">
        <v>45809.0</v>
      </c>
      <c r="I24" s="19" t="s">
        <v>14</v>
      </c>
      <c r="J24" s="17"/>
      <c r="K24" s="17"/>
      <c r="L24" s="17"/>
    </row>
    <row r="25" ht="15.75" customHeight="1">
      <c r="A25" s="7"/>
      <c r="B25" s="8"/>
      <c r="C25" s="9"/>
      <c r="D25" s="19"/>
      <c r="E25" s="7"/>
      <c r="F25" s="11"/>
      <c r="G25" s="121"/>
      <c r="H25" s="13"/>
      <c r="I25" s="19"/>
      <c r="J25" s="17"/>
      <c r="K25" s="17"/>
      <c r="L25" s="17"/>
    </row>
    <row r="26" ht="15.75" customHeight="1">
      <c r="A26" s="7"/>
      <c r="B26" s="8"/>
      <c r="C26" s="9"/>
      <c r="D26" s="19"/>
      <c r="E26" s="7"/>
      <c r="F26" s="11"/>
      <c r="G26" s="121"/>
      <c r="H26" s="13"/>
      <c r="I26" s="19"/>
      <c r="J26" s="17"/>
      <c r="K26" s="17"/>
      <c r="L26" s="17"/>
    </row>
    <row r="27" ht="15.75" customHeight="1">
      <c r="A27" s="7"/>
      <c r="B27" s="8"/>
      <c r="C27" s="9"/>
      <c r="D27" s="19"/>
      <c r="E27" s="7"/>
      <c r="F27" s="11"/>
      <c r="G27" s="121"/>
      <c r="H27" s="13"/>
      <c r="I27" s="19"/>
      <c r="J27" s="17"/>
      <c r="K27" s="17"/>
      <c r="L27" s="17"/>
    </row>
    <row r="28" ht="15.75" customHeight="1">
      <c r="A28" s="7"/>
      <c r="B28" s="8"/>
      <c r="C28" s="9"/>
      <c r="D28" s="19"/>
      <c r="E28" s="7"/>
      <c r="F28" s="11"/>
      <c r="G28" s="121"/>
      <c r="H28" s="13"/>
      <c r="I28" s="19"/>
      <c r="J28" s="17"/>
      <c r="K28" s="17"/>
      <c r="L28" s="1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604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9.081111007E9</v>
      </c>
      <c r="C3" s="9" t="s">
        <v>451</v>
      </c>
      <c r="D3" s="16">
        <v>2.704399E7</v>
      </c>
      <c r="E3" s="16">
        <v>240.0</v>
      </c>
      <c r="F3" s="11">
        <v>216.0</v>
      </c>
      <c r="G3" s="12">
        <f t="shared" ref="G3:G22" si="1">E3-F3</f>
        <v>24</v>
      </c>
      <c r="H3" s="13"/>
      <c r="I3" s="14" t="s">
        <v>14</v>
      </c>
      <c r="J3" s="15">
        <v>45782.0</v>
      </c>
      <c r="K3" s="7" t="s">
        <v>294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6">
        <v>2.704399E7</v>
      </c>
      <c r="E4" s="16">
        <v>1.0</v>
      </c>
      <c r="F4" s="11">
        <v>1.0</v>
      </c>
      <c r="G4" s="12">
        <f t="shared" si="1"/>
        <v>0</v>
      </c>
      <c r="H4" s="15">
        <v>45776.0</v>
      </c>
      <c r="I4" s="14" t="s">
        <v>14</v>
      </c>
      <c r="J4" s="15">
        <v>45782.0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6">
        <v>2.704399E7</v>
      </c>
      <c r="E5" s="16">
        <v>2.0</v>
      </c>
      <c r="F5" s="11">
        <f>1+1</f>
        <v>2</v>
      </c>
      <c r="G5" s="12">
        <f t="shared" si="1"/>
        <v>0</v>
      </c>
      <c r="H5" s="15">
        <v>45776.0</v>
      </c>
      <c r="I5" s="14" t="s">
        <v>14</v>
      </c>
      <c r="J5" s="30" t="s">
        <v>605</v>
      </c>
      <c r="K5" s="51" t="s">
        <v>606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6">
        <v>2.704399E7</v>
      </c>
      <c r="E6" s="16">
        <v>2.0</v>
      </c>
      <c r="F6" s="11">
        <v>2.0</v>
      </c>
      <c r="G6" s="12">
        <f t="shared" si="1"/>
        <v>0</v>
      </c>
      <c r="H6" s="13"/>
      <c r="I6" s="14" t="s">
        <v>14</v>
      </c>
      <c r="J6" s="30">
        <v>45782.0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6">
        <v>2.704399E7</v>
      </c>
      <c r="E7" s="16">
        <v>2.0</v>
      </c>
      <c r="F7" s="11">
        <v>2.0</v>
      </c>
      <c r="G7" s="12">
        <f t="shared" si="1"/>
        <v>0</v>
      </c>
      <c r="H7" s="13"/>
      <c r="I7" s="14" t="s">
        <v>14</v>
      </c>
      <c r="J7" s="15">
        <v>45782.0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6">
        <v>2.704399E7</v>
      </c>
      <c r="E8" s="16">
        <v>2.0</v>
      </c>
      <c r="F8" s="11">
        <v>2.0</v>
      </c>
      <c r="G8" s="12">
        <f t="shared" si="1"/>
        <v>0</v>
      </c>
      <c r="H8" s="13"/>
      <c r="I8" s="14" t="s">
        <v>14</v>
      </c>
      <c r="J8" s="15">
        <v>45782.0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6">
        <v>2.704399E7</v>
      </c>
      <c r="E9" s="16">
        <v>1.0</v>
      </c>
      <c r="F9" s="11">
        <v>1.0</v>
      </c>
      <c r="G9" s="12">
        <f t="shared" si="1"/>
        <v>0</v>
      </c>
      <c r="H9" s="13"/>
      <c r="I9" s="14" t="s">
        <v>14</v>
      </c>
      <c r="J9" s="15">
        <v>45782.0</v>
      </c>
      <c r="K9" s="7" t="s">
        <v>294</v>
      </c>
      <c r="L9" s="9"/>
    </row>
    <row r="10" ht="29.25" customHeight="1">
      <c r="A10" s="7">
        <v>8.0</v>
      </c>
      <c r="B10" s="8">
        <v>9.08111005E8</v>
      </c>
      <c r="C10" s="9" t="s">
        <v>608</v>
      </c>
      <c r="D10" s="16">
        <v>2.704399E7</v>
      </c>
      <c r="E10" s="16">
        <v>6.0</v>
      </c>
      <c r="F10" s="11">
        <v>6.0</v>
      </c>
      <c r="G10" s="12">
        <f t="shared" si="1"/>
        <v>0</v>
      </c>
      <c r="H10" s="13"/>
      <c r="I10" s="14" t="s">
        <v>14</v>
      </c>
      <c r="J10" s="15">
        <v>45782.0</v>
      </c>
      <c r="K10" s="7" t="s">
        <v>294</v>
      </c>
      <c r="L10" s="9"/>
    </row>
    <row r="11">
      <c r="A11" s="7">
        <v>9.0</v>
      </c>
      <c r="B11" s="8">
        <v>9.08111101E8</v>
      </c>
      <c r="C11" s="9" t="s">
        <v>597</v>
      </c>
      <c r="D11" s="16">
        <v>2.704399E7</v>
      </c>
      <c r="E11" s="16">
        <v>6.0</v>
      </c>
      <c r="F11" s="11">
        <v>6.0</v>
      </c>
      <c r="G11" s="12">
        <f t="shared" si="1"/>
        <v>0</v>
      </c>
      <c r="H11" s="15">
        <v>45783.0</v>
      </c>
      <c r="I11" s="14" t="s">
        <v>14</v>
      </c>
      <c r="J11" s="15">
        <v>45782.0</v>
      </c>
      <c r="K11" s="7" t="s">
        <v>294</v>
      </c>
      <c r="L11" s="9"/>
    </row>
    <row r="12">
      <c r="A12" s="7">
        <v>10.0</v>
      </c>
      <c r="B12" s="8">
        <v>9.08122011E8</v>
      </c>
      <c r="C12" s="9" t="s">
        <v>23</v>
      </c>
      <c r="D12" s="16">
        <v>2.704399E7</v>
      </c>
      <c r="E12" s="7">
        <v>3.0</v>
      </c>
      <c r="F12" s="11">
        <v>3.0</v>
      </c>
      <c r="G12" s="12">
        <f t="shared" si="1"/>
        <v>0</v>
      </c>
      <c r="H12" s="15">
        <v>45776.0</v>
      </c>
      <c r="I12" s="14" t="s">
        <v>14</v>
      </c>
      <c r="J12" s="15">
        <v>45802.0</v>
      </c>
      <c r="K12" s="7" t="s">
        <v>599</v>
      </c>
      <c r="L12" s="9"/>
    </row>
    <row r="13">
      <c r="A13" s="7">
        <v>11.0</v>
      </c>
      <c r="B13" s="8">
        <v>9.0812201E8</v>
      </c>
      <c r="C13" s="9" t="s">
        <v>80</v>
      </c>
      <c r="D13" s="16">
        <v>2.704399E7</v>
      </c>
      <c r="E13" s="7">
        <v>4.0</v>
      </c>
      <c r="F13" s="11"/>
      <c r="G13" s="12">
        <f t="shared" si="1"/>
        <v>4</v>
      </c>
      <c r="H13" s="15">
        <v>45776.0</v>
      </c>
      <c r="I13" s="14" t="s">
        <v>14</v>
      </c>
      <c r="J13" s="15"/>
      <c r="K13" s="7"/>
      <c r="L13" s="9"/>
    </row>
    <row r="14">
      <c r="A14" s="7">
        <v>12.0</v>
      </c>
      <c r="B14" s="8">
        <v>9.08020201E8</v>
      </c>
      <c r="C14" s="9" t="s">
        <v>13</v>
      </c>
      <c r="D14" s="16">
        <v>2.704399E7</v>
      </c>
      <c r="E14" s="7">
        <v>1.0</v>
      </c>
      <c r="F14" s="11"/>
      <c r="G14" s="12">
        <f t="shared" si="1"/>
        <v>1</v>
      </c>
      <c r="H14" s="15">
        <v>45784.0</v>
      </c>
      <c r="I14" s="14" t="s">
        <v>14</v>
      </c>
      <c r="J14" s="15"/>
      <c r="K14" s="7"/>
      <c r="L14" s="9"/>
    </row>
    <row r="15">
      <c r="A15" s="7">
        <v>13.0</v>
      </c>
      <c r="B15" s="8">
        <v>9.08370504E8</v>
      </c>
      <c r="C15" s="8" t="s">
        <v>609</v>
      </c>
      <c r="D15" s="16">
        <v>2.7224061E7</v>
      </c>
      <c r="E15" s="7">
        <v>1.0</v>
      </c>
      <c r="F15" s="11">
        <v>1.0</v>
      </c>
      <c r="G15" s="12">
        <f t="shared" si="1"/>
        <v>0</v>
      </c>
      <c r="H15" s="15">
        <v>45809.0</v>
      </c>
      <c r="I15" s="14" t="s">
        <v>14</v>
      </c>
      <c r="J15" s="15">
        <v>45810.0</v>
      </c>
      <c r="K15" s="7" t="s">
        <v>283</v>
      </c>
      <c r="L15" s="9"/>
    </row>
    <row r="16">
      <c r="A16" s="7">
        <v>14.0</v>
      </c>
      <c r="B16" s="8">
        <v>9.08421001E8</v>
      </c>
      <c r="C16" s="8" t="s">
        <v>532</v>
      </c>
      <c r="D16" s="16">
        <v>2.7224061E7</v>
      </c>
      <c r="E16" s="7">
        <v>1.0</v>
      </c>
      <c r="F16" s="11">
        <v>1.0</v>
      </c>
      <c r="G16" s="12">
        <f t="shared" si="1"/>
        <v>0</v>
      </c>
      <c r="H16" s="15">
        <v>45809.0</v>
      </c>
      <c r="I16" s="14" t="s">
        <v>14</v>
      </c>
      <c r="J16" s="15">
        <v>45810.0</v>
      </c>
      <c r="K16" s="7" t="s">
        <v>283</v>
      </c>
      <c r="L16" s="9"/>
    </row>
    <row r="17">
      <c r="A17" s="7">
        <v>15.0</v>
      </c>
      <c r="B17" s="8">
        <v>9.08111101E8</v>
      </c>
      <c r="C17" s="8" t="s">
        <v>597</v>
      </c>
      <c r="D17" s="16">
        <v>2.7224061E7</v>
      </c>
      <c r="E17" s="7">
        <v>3.0</v>
      </c>
      <c r="F17" s="11">
        <v>4.0</v>
      </c>
      <c r="G17" s="12">
        <f t="shared" si="1"/>
        <v>-1</v>
      </c>
      <c r="H17" s="15">
        <v>45809.0</v>
      </c>
      <c r="I17" s="14" t="s">
        <v>14</v>
      </c>
      <c r="J17" s="15">
        <v>45810.0</v>
      </c>
      <c r="K17" s="7" t="s">
        <v>283</v>
      </c>
      <c r="L17" s="9"/>
    </row>
    <row r="18">
      <c r="A18" s="7">
        <v>16.0</v>
      </c>
      <c r="B18" s="8">
        <v>9.0820203E8</v>
      </c>
      <c r="C18" s="8" t="s">
        <v>454</v>
      </c>
      <c r="D18" s="16">
        <v>2.7224061E7</v>
      </c>
      <c r="E18" s="7">
        <v>5.0</v>
      </c>
      <c r="F18" s="11">
        <v>5.0</v>
      </c>
      <c r="G18" s="12">
        <f t="shared" si="1"/>
        <v>0</v>
      </c>
      <c r="H18" s="15">
        <v>45809.0</v>
      </c>
      <c r="I18" s="14" t="s">
        <v>14</v>
      </c>
      <c r="J18" s="15">
        <v>45810.0</v>
      </c>
      <c r="K18" s="7" t="s">
        <v>283</v>
      </c>
      <c r="L18" s="9"/>
    </row>
    <row r="19">
      <c r="A19" s="7">
        <v>17.0</v>
      </c>
      <c r="B19" s="8">
        <v>9.0812201E8</v>
      </c>
      <c r="C19" s="8" t="s">
        <v>80</v>
      </c>
      <c r="D19" s="16">
        <v>2.7224061E7</v>
      </c>
      <c r="E19" s="7">
        <v>4.0</v>
      </c>
      <c r="F19" s="11">
        <v>4.0</v>
      </c>
      <c r="G19" s="12">
        <f t="shared" si="1"/>
        <v>0</v>
      </c>
      <c r="H19" s="15">
        <v>45809.0</v>
      </c>
      <c r="I19" s="14" t="s">
        <v>14</v>
      </c>
      <c r="J19" s="15">
        <v>45810.0</v>
      </c>
      <c r="K19" s="7" t="s">
        <v>283</v>
      </c>
      <c r="L19" s="9"/>
    </row>
    <row r="20">
      <c r="A20" s="7">
        <v>18.0</v>
      </c>
      <c r="B20" s="8">
        <v>9.08202189E8</v>
      </c>
      <c r="C20" s="8" t="s">
        <v>602</v>
      </c>
      <c r="D20" s="16">
        <v>2.7224061E7</v>
      </c>
      <c r="E20" s="7">
        <v>1.0</v>
      </c>
      <c r="F20" s="11">
        <v>1.0</v>
      </c>
      <c r="G20" s="12">
        <f t="shared" si="1"/>
        <v>0</v>
      </c>
      <c r="H20" s="15">
        <v>45809.0</v>
      </c>
      <c r="I20" s="14" t="s">
        <v>14</v>
      </c>
      <c r="J20" s="15">
        <v>45810.0</v>
      </c>
      <c r="K20" s="7" t="s">
        <v>283</v>
      </c>
      <c r="L20" s="9"/>
    </row>
    <row r="21" ht="15.75" customHeight="1">
      <c r="A21" s="7">
        <v>19.0</v>
      </c>
      <c r="B21" s="8">
        <v>9.08202054E8</v>
      </c>
      <c r="C21" s="8" t="s">
        <v>603</v>
      </c>
      <c r="D21" s="16">
        <v>2.7224061E7</v>
      </c>
      <c r="E21" s="7">
        <v>1.0</v>
      </c>
      <c r="F21" s="11">
        <v>1.0</v>
      </c>
      <c r="G21" s="12">
        <f t="shared" si="1"/>
        <v>0</v>
      </c>
      <c r="H21" s="15">
        <v>45809.0</v>
      </c>
      <c r="I21" s="14" t="s">
        <v>14</v>
      </c>
      <c r="J21" s="15">
        <v>45810.0</v>
      </c>
      <c r="K21" s="7" t="s">
        <v>283</v>
      </c>
      <c r="L21" s="9"/>
    </row>
    <row r="22" ht="15.75" customHeight="1">
      <c r="A22" s="7">
        <v>20.0</v>
      </c>
      <c r="B22" s="8">
        <v>9.08402207E8</v>
      </c>
      <c r="C22" s="9" t="s">
        <v>377</v>
      </c>
      <c r="D22" s="16">
        <v>2.7224061E7</v>
      </c>
      <c r="E22" s="7">
        <v>1.0</v>
      </c>
      <c r="F22" s="11">
        <v>1.0</v>
      </c>
      <c r="G22" s="12">
        <f t="shared" si="1"/>
        <v>0</v>
      </c>
      <c r="H22" s="15">
        <v>45809.0</v>
      </c>
      <c r="I22" s="14" t="s">
        <v>14</v>
      </c>
      <c r="J22" s="15">
        <v>45810.0</v>
      </c>
      <c r="K22" s="7" t="s">
        <v>283</v>
      </c>
      <c r="L22" s="9"/>
    </row>
    <row r="23" ht="15.75" customHeight="1">
      <c r="A23" s="7">
        <v>21.0</v>
      </c>
      <c r="B23" s="8">
        <v>9.08020201E8</v>
      </c>
      <c r="C23" s="9" t="s">
        <v>13</v>
      </c>
      <c r="D23" s="16">
        <v>2.7224061E7</v>
      </c>
      <c r="E23" s="7">
        <v>1.0</v>
      </c>
      <c r="F23" s="11"/>
      <c r="G23" s="121"/>
      <c r="H23" s="15">
        <v>45809.0</v>
      </c>
      <c r="I23" s="14" t="s">
        <v>14</v>
      </c>
      <c r="J23" s="15"/>
      <c r="K23" s="7"/>
      <c r="L23" s="9"/>
    </row>
    <row r="24" ht="15.75" customHeight="1">
      <c r="A24" s="7"/>
      <c r="B24" s="8"/>
      <c r="C24" s="9"/>
      <c r="D24" s="16"/>
      <c r="E24" s="7"/>
      <c r="F24" s="11"/>
      <c r="G24" s="121"/>
      <c r="H24" s="15"/>
      <c r="I24" s="19"/>
      <c r="J24" s="15"/>
      <c r="K24" s="7"/>
      <c r="L24" s="9"/>
    </row>
    <row r="25" ht="15.75" customHeight="1">
      <c r="A25" s="7"/>
      <c r="B25" s="8"/>
      <c r="C25" s="9"/>
      <c r="D25" s="16"/>
      <c r="E25" s="7"/>
      <c r="F25" s="11"/>
      <c r="G25" s="121"/>
      <c r="H25" s="15"/>
      <c r="I25" s="19"/>
      <c r="J25" s="15"/>
      <c r="K25" s="7"/>
      <c r="L25" s="9"/>
    </row>
    <row r="26" ht="15.75" customHeight="1"/>
    <row r="27" ht="15.75" customHeight="1"/>
    <row r="28" ht="15.75" customHeight="1">
      <c r="H28" s="18" t="s">
        <v>341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610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611</v>
      </c>
      <c r="C3" s="20" t="s">
        <v>612</v>
      </c>
      <c r="D3" s="19">
        <v>2.7059426E7</v>
      </c>
      <c r="E3" s="7">
        <v>2.0</v>
      </c>
      <c r="F3" s="80">
        <v>2.0</v>
      </c>
      <c r="G3" s="12">
        <f t="shared" ref="G3:G32" si="1">E3-F3</f>
        <v>0</v>
      </c>
      <c r="H3" s="15">
        <v>45781.0</v>
      </c>
      <c r="I3" s="14" t="s">
        <v>14</v>
      </c>
      <c r="J3" s="15">
        <v>45840.0</v>
      </c>
      <c r="K3" s="8" t="s">
        <v>613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580</v>
      </c>
      <c r="C4" s="20" t="s">
        <v>614</v>
      </c>
      <c r="D4" s="19">
        <v>2.7059426E7</v>
      </c>
      <c r="E4" s="7">
        <f>1+2</f>
        <v>3</v>
      </c>
      <c r="F4" s="80">
        <v>2.0</v>
      </c>
      <c r="G4" s="12">
        <f t="shared" si="1"/>
        <v>1</v>
      </c>
      <c r="H4" s="30" t="s">
        <v>615</v>
      </c>
      <c r="I4" s="14" t="s">
        <v>14</v>
      </c>
      <c r="J4" s="15">
        <v>45825.0</v>
      </c>
      <c r="K4" s="8" t="s">
        <v>613</v>
      </c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19" t="s">
        <v>616</v>
      </c>
      <c r="C5" s="20" t="s">
        <v>149</v>
      </c>
      <c r="D5" s="19">
        <v>2.7059426E7</v>
      </c>
      <c r="E5" s="7">
        <v>1.0</v>
      </c>
      <c r="F5" s="80">
        <v>1.0</v>
      </c>
      <c r="G5" s="12">
        <f t="shared" si="1"/>
        <v>0</v>
      </c>
      <c r="H5" s="30">
        <v>45785.0</v>
      </c>
      <c r="I5" s="14" t="s">
        <v>14</v>
      </c>
      <c r="J5" s="15">
        <v>45818.0</v>
      </c>
      <c r="K5" s="8" t="s">
        <v>613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19" t="s">
        <v>20</v>
      </c>
      <c r="C6" s="20" t="s">
        <v>21</v>
      </c>
      <c r="D6" s="19">
        <v>2.7059426E7</v>
      </c>
      <c r="E6" s="7">
        <f>4+2</f>
        <v>6</v>
      </c>
      <c r="F6" s="80">
        <v>6.0</v>
      </c>
      <c r="G6" s="12">
        <f t="shared" si="1"/>
        <v>0</v>
      </c>
      <c r="H6" s="30" t="s">
        <v>615</v>
      </c>
      <c r="I6" s="14" t="s">
        <v>14</v>
      </c>
      <c r="J6" s="15">
        <v>45818.0</v>
      </c>
      <c r="K6" s="8" t="s">
        <v>613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19" t="s">
        <v>103</v>
      </c>
      <c r="C7" s="20" t="s">
        <v>104</v>
      </c>
      <c r="D7" s="19">
        <v>2.7059426E7</v>
      </c>
      <c r="E7" s="7">
        <v>1.0</v>
      </c>
      <c r="F7" s="80">
        <v>1.0</v>
      </c>
      <c r="G7" s="12">
        <f t="shared" si="1"/>
        <v>0</v>
      </c>
      <c r="H7" s="15">
        <v>45781.0</v>
      </c>
      <c r="I7" s="14" t="s">
        <v>14</v>
      </c>
      <c r="J7" s="15">
        <v>45818.0</v>
      </c>
      <c r="K7" s="8" t="s">
        <v>613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>
        <v>6.0</v>
      </c>
      <c r="B8" s="19" t="s">
        <v>617</v>
      </c>
      <c r="C8" s="20" t="s">
        <v>66</v>
      </c>
      <c r="D8" s="19">
        <v>2.7059426E7</v>
      </c>
      <c r="E8" s="7">
        <v>2.0</v>
      </c>
      <c r="F8" s="80">
        <v>2.0</v>
      </c>
      <c r="G8" s="12">
        <f t="shared" si="1"/>
        <v>0</v>
      </c>
      <c r="H8" s="15">
        <v>45781.0</v>
      </c>
      <c r="I8" s="14" t="s">
        <v>14</v>
      </c>
      <c r="J8" s="15">
        <v>45825.0</v>
      </c>
      <c r="K8" s="8" t="s">
        <v>613</v>
      </c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7">
        <v>7.0</v>
      </c>
      <c r="B9" s="8">
        <v>9.0812104E8</v>
      </c>
      <c r="C9" s="9" t="s">
        <v>618</v>
      </c>
      <c r="D9" s="19">
        <v>2.7059426E7</v>
      </c>
      <c r="E9" s="7">
        <v>2.0</v>
      </c>
      <c r="F9" s="80">
        <v>2.0</v>
      </c>
      <c r="G9" s="12">
        <f t="shared" si="1"/>
        <v>0</v>
      </c>
      <c r="H9" s="15">
        <v>45781.0</v>
      </c>
      <c r="I9" s="14" t="s">
        <v>14</v>
      </c>
      <c r="J9" s="15">
        <v>45818.0</v>
      </c>
      <c r="K9" s="8" t="s">
        <v>613</v>
      </c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>
        <v>8.0</v>
      </c>
      <c r="B10" s="8">
        <v>9.08202098E8</v>
      </c>
      <c r="C10" s="9" t="s">
        <v>22</v>
      </c>
      <c r="D10" s="19">
        <v>2.7059426E7</v>
      </c>
      <c r="E10" s="7">
        <f>2+2</f>
        <v>4</v>
      </c>
      <c r="F10" s="80">
        <v>6.0</v>
      </c>
      <c r="G10" s="12">
        <f t="shared" si="1"/>
        <v>-2</v>
      </c>
      <c r="H10" s="30" t="s">
        <v>619</v>
      </c>
      <c r="I10" s="14" t="s">
        <v>14</v>
      </c>
      <c r="J10" s="15">
        <v>45818.0</v>
      </c>
      <c r="K10" s="8" t="s">
        <v>613</v>
      </c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>
        <v>9.0</v>
      </c>
      <c r="B11" s="8">
        <v>9.08122011E8</v>
      </c>
      <c r="C11" s="9" t="s">
        <v>23</v>
      </c>
      <c r="D11" s="19">
        <v>2.7059426E7</v>
      </c>
      <c r="E11" s="7">
        <f>3+3</f>
        <v>6</v>
      </c>
      <c r="F11" s="80">
        <v>3.0</v>
      </c>
      <c r="G11" s="12">
        <f t="shared" si="1"/>
        <v>3</v>
      </c>
      <c r="H11" s="30" t="s">
        <v>619</v>
      </c>
      <c r="I11" s="14" t="s">
        <v>14</v>
      </c>
      <c r="J11" s="15">
        <v>45825.0</v>
      </c>
      <c r="K11" s="8" t="s">
        <v>613</v>
      </c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31.5" customHeight="1">
      <c r="A12" s="7">
        <v>10.0</v>
      </c>
      <c r="B12" s="8">
        <v>9.0812101E8</v>
      </c>
      <c r="C12" s="9" t="s">
        <v>450</v>
      </c>
      <c r="D12" s="19">
        <v>2.7059426E7</v>
      </c>
      <c r="E12" s="7">
        <f t="shared" ref="E12:E14" si="2">2+2</f>
        <v>4</v>
      </c>
      <c r="F12" s="80">
        <v>2.0</v>
      </c>
      <c r="G12" s="12">
        <f t="shared" si="1"/>
        <v>2</v>
      </c>
      <c r="H12" s="15">
        <v>45781.0</v>
      </c>
      <c r="I12" s="14" t="s">
        <v>14</v>
      </c>
      <c r="J12" s="15">
        <v>45825.0</v>
      </c>
      <c r="K12" s="8" t="s">
        <v>613</v>
      </c>
      <c r="L12" s="9"/>
    </row>
    <row r="13">
      <c r="A13" s="7">
        <v>11.0</v>
      </c>
      <c r="B13" s="8">
        <v>9.08020201E8</v>
      </c>
      <c r="C13" s="9" t="s">
        <v>13</v>
      </c>
      <c r="D13" s="19">
        <v>2.7059426E7</v>
      </c>
      <c r="E13" s="7">
        <f t="shared" si="2"/>
        <v>4</v>
      </c>
      <c r="F13" s="80">
        <v>2.0</v>
      </c>
      <c r="G13" s="12">
        <f t="shared" si="1"/>
        <v>2</v>
      </c>
      <c r="H13" s="30" t="s">
        <v>619</v>
      </c>
      <c r="I13" s="14" t="s">
        <v>14</v>
      </c>
      <c r="J13" s="15">
        <v>45818.0</v>
      </c>
      <c r="K13" s="8" t="s">
        <v>613</v>
      </c>
      <c r="L13" s="17"/>
    </row>
    <row r="14">
      <c r="A14" s="7">
        <v>12.0</v>
      </c>
      <c r="B14" s="8">
        <v>9.0820203E8</v>
      </c>
      <c r="C14" s="9" t="s">
        <v>19</v>
      </c>
      <c r="D14" s="19">
        <v>2.7059426E7</v>
      </c>
      <c r="E14" s="7">
        <f t="shared" si="2"/>
        <v>4</v>
      </c>
      <c r="F14" s="80">
        <v>2.0</v>
      </c>
      <c r="G14" s="12">
        <f t="shared" si="1"/>
        <v>2</v>
      </c>
      <c r="H14" s="30" t="s">
        <v>619</v>
      </c>
      <c r="I14" s="19" t="s">
        <v>14</v>
      </c>
      <c r="J14" s="15">
        <v>45818.0</v>
      </c>
      <c r="K14" s="8" t="s">
        <v>613</v>
      </c>
      <c r="L14" s="17"/>
    </row>
    <row r="15">
      <c r="A15" s="7">
        <v>13.0</v>
      </c>
      <c r="B15" s="8">
        <v>9.08122034E8</v>
      </c>
      <c r="C15" s="9" t="s">
        <v>620</v>
      </c>
      <c r="D15" s="19">
        <v>2.7059426E7</v>
      </c>
      <c r="E15" s="7">
        <v>8.0</v>
      </c>
      <c r="F15" s="80">
        <v>8.0</v>
      </c>
      <c r="G15" s="12">
        <f t="shared" si="1"/>
        <v>0</v>
      </c>
      <c r="H15" s="15">
        <v>45781.0</v>
      </c>
      <c r="I15" s="19" t="s">
        <v>14</v>
      </c>
      <c r="J15" s="15">
        <v>45818.0</v>
      </c>
      <c r="K15" s="8" t="s">
        <v>613</v>
      </c>
      <c r="L15" s="17"/>
    </row>
    <row r="16">
      <c r="A16" s="7">
        <v>14.0</v>
      </c>
      <c r="B16" s="8">
        <v>9.08202189E8</v>
      </c>
      <c r="C16" s="9" t="s">
        <v>55</v>
      </c>
      <c r="D16" s="19">
        <v>2.7059426E7</v>
      </c>
      <c r="E16" s="7">
        <f>8+2</f>
        <v>10</v>
      </c>
      <c r="F16" s="80">
        <v>8.0</v>
      </c>
      <c r="G16" s="12">
        <f t="shared" si="1"/>
        <v>2</v>
      </c>
      <c r="H16" s="30" t="s">
        <v>619</v>
      </c>
      <c r="I16" s="19" t="s">
        <v>14</v>
      </c>
      <c r="J16" s="15">
        <v>45818.0</v>
      </c>
      <c r="K16" s="8" t="s">
        <v>613</v>
      </c>
      <c r="L16" s="17"/>
    </row>
    <row r="17">
      <c r="A17" s="7">
        <v>15.0</v>
      </c>
      <c r="B17" s="8">
        <v>9.08113004E8</v>
      </c>
      <c r="C17" s="9" t="s">
        <v>203</v>
      </c>
      <c r="D17" s="19">
        <v>2.7059426E7</v>
      </c>
      <c r="E17" s="7">
        <v>8.0</v>
      </c>
      <c r="F17" s="80">
        <v>8.0</v>
      </c>
      <c r="G17" s="12">
        <f t="shared" si="1"/>
        <v>0</v>
      </c>
      <c r="H17" s="30">
        <v>45783.0</v>
      </c>
      <c r="I17" s="14" t="s">
        <v>14</v>
      </c>
      <c r="J17" s="15">
        <v>45818.0</v>
      </c>
      <c r="K17" s="8" t="s">
        <v>613</v>
      </c>
      <c r="L17" s="17"/>
    </row>
    <row r="18">
      <c r="A18" s="7">
        <v>16.0</v>
      </c>
      <c r="B18" s="8">
        <v>9.08114004E8</v>
      </c>
      <c r="C18" s="9" t="s">
        <v>621</v>
      </c>
      <c r="D18" s="19">
        <v>2.7059426E7</v>
      </c>
      <c r="E18" s="7">
        <v>135.0</v>
      </c>
      <c r="F18" s="80">
        <v>129.0</v>
      </c>
      <c r="G18" s="12">
        <f t="shared" si="1"/>
        <v>6</v>
      </c>
      <c r="H18" s="30">
        <v>45785.0</v>
      </c>
      <c r="I18" s="14" t="s">
        <v>14</v>
      </c>
      <c r="J18" s="30">
        <v>45824.0</v>
      </c>
      <c r="K18" s="8" t="s">
        <v>613</v>
      </c>
      <c r="L18" s="17"/>
    </row>
    <row r="19">
      <c r="A19" s="7">
        <v>17.0</v>
      </c>
      <c r="B19" s="8" t="s">
        <v>27</v>
      </c>
      <c r="C19" s="9" t="s">
        <v>28</v>
      </c>
      <c r="D19" s="19">
        <v>2.7059426E7</v>
      </c>
      <c r="E19" s="7">
        <v>27.0</v>
      </c>
      <c r="F19" s="80">
        <v>25.0</v>
      </c>
      <c r="G19" s="12">
        <f t="shared" si="1"/>
        <v>2</v>
      </c>
      <c r="H19" s="30">
        <v>45783.0</v>
      </c>
      <c r="I19" s="14" t="s">
        <v>14</v>
      </c>
      <c r="J19" s="30">
        <v>45824.0</v>
      </c>
      <c r="K19" s="8" t="s">
        <v>613</v>
      </c>
      <c r="L19" s="17"/>
    </row>
    <row r="20">
      <c r="A20" s="7">
        <v>18.0</v>
      </c>
      <c r="B20" s="8" t="s">
        <v>25</v>
      </c>
      <c r="C20" s="9" t="s">
        <v>26</v>
      </c>
      <c r="D20" s="19">
        <v>2.7059426E7</v>
      </c>
      <c r="E20" s="7">
        <v>34.0</v>
      </c>
      <c r="F20" s="80">
        <v>31.0</v>
      </c>
      <c r="G20" s="12">
        <f t="shared" si="1"/>
        <v>3</v>
      </c>
      <c r="H20" s="30">
        <v>45783.0</v>
      </c>
      <c r="I20" s="19" t="s">
        <v>14</v>
      </c>
      <c r="J20" s="30">
        <v>45824.0</v>
      </c>
      <c r="K20" s="8" t="s">
        <v>613</v>
      </c>
      <c r="L20" s="17"/>
    </row>
    <row r="21" ht="15.75" customHeight="1">
      <c r="A21" s="7">
        <v>19.0</v>
      </c>
      <c r="B21" s="8">
        <v>9.08111101E8</v>
      </c>
      <c r="C21" s="9" t="s">
        <v>24</v>
      </c>
      <c r="D21" s="19">
        <v>2.7059426E7</v>
      </c>
      <c r="E21" s="7">
        <v>6.0</v>
      </c>
      <c r="F21" s="80">
        <v>6.0</v>
      </c>
      <c r="G21" s="12">
        <f t="shared" si="1"/>
        <v>0</v>
      </c>
      <c r="H21" s="30">
        <v>45785.0</v>
      </c>
      <c r="I21" s="19" t="s">
        <v>14</v>
      </c>
      <c r="J21" s="15">
        <v>45818.0</v>
      </c>
      <c r="K21" s="8" t="s">
        <v>613</v>
      </c>
      <c r="L21" s="17"/>
    </row>
    <row r="22" ht="15.75" customHeight="1">
      <c r="A22" s="7">
        <v>20.0</v>
      </c>
      <c r="B22" s="8" t="s">
        <v>622</v>
      </c>
      <c r="C22" s="9" t="s">
        <v>420</v>
      </c>
      <c r="D22" s="19">
        <v>2.7059426E7</v>
      </c>
      <c r="E22" s="7">
        <v>25.0</v>
      </c>
      <c r="F22" s="80">
        <v>25.0</v>
      </c>
      <c r="G22" s="12">
        <f t="shared" si="1"/>
        <v>0</v>
      </c>
      <c r="H22" s="30">
        <v>45785.0</v>
      </c>
      <c r="I22" s="19" t="s">
        <v>14</v>
      </c>
      <c r="J22" s="15">
        <v>45818.0</v>
      </c>
      <c r="K22" s="8" t="s">
        <v>613</v>
      </c>
      <c r="L22" s="17"/>
    </row>
    <row r="23" ht="15.75" customHeight="1">
      <c r="A23" s="7">
        <v>21.0</v>
      </c>
      <c r="B23" s="8">
        <v>9.08321012E8</v>
      </c>
      <c r="C23" s="29" t="s">
        <v>380</v>
      </c>
      <c r="D23" s="19">
        <v>2.7059426E7</v>
      </c>
      <c r="E23" s="7">
        <v>1.0</v>
      </c>
      <c r="F23" s="80">
        <v>1.0</v>
      </c>
      <c r="G23" s="12">
        <f t="shared" si="1"/>
        <v>0</v>
      </c>
      <c r="H23" s="30">
        <v>45798.0</v>
      </c>
      <c r="I23" s="19" t="s">
        <v>14</v>
      </c>
      <c r="J23" s="15">
        <v>45818.0</v>
      </c>
      <c r="K23" s="8" t="s">
        <v>613</v>
      </c>
      <c r="L23" s="17"/>
    </row>
    <row r="24" ht="15.75" customHeight="1">
      <c r="A24" s="7">
        <v>23.0</v>
      </c>
      <c r="B24" s="8">
        <v>9.08421025E8</v>
      </c>
      <c r="C24" s="20" t="s">
        <v>112</v>
      </c>
      <c r="D24" s="19">
        <v>2.7463782E7</v>
      </c>
      <c r="E24" s="7">
        <v>2.0</v>
      </c>
      <c r="F24" s="80">
        <v>2.0</v>
      </c>
      <c r="G24" s="12">
        <f t="shared" si="1"/>
        <v>0</v>
      </c>
      <c r="H24" s="30">
        <v>45865.0</v>
      </c>
      <c r="I24" s="19" t="s">
        <v>14</v>
      </c>
      <c r="J24" s="15">
        <v>45867.0</v>
      </c>
      <c r="K24" s="8" t="s">
        <v>613</v>
      </c>
      <c r="L24" s="17"/>
    </row>
    <row r="25" ht="15.75" customHeight="1">
      <c r="A25" s="7">
        <v>24.0</v>
      </c>
      <c r="B25" s="8">
        <v>9.08402208E8</v>
      </c>
      <c r="C25" s="20" t="s">
        <v>111</v>
      </c>
      <c r="D25" s="19">
        <v>2.7463782E7</v>
      </c>
      <c r="E25" s="7">
        <v>2.0</v>
      </c>
      <c r="F25" s="80">
        <v>2.0</v>
      </c>
      <c r="G25" s="12">
        <f t="shared" si="1"/>
        <v>0</v>
      </c>
      <c r="H25" s="30">
        <v>45865.0</v>
      </c>
      <c r="I25" s="19" t="s">
        <v>14</v>
      </c>
      <c r="J25" s="15">
        <v>45867.0</v>
      </c>
      <c r="K25" s="8" t="s">
        <v>613</v>
      </c>
      <c r="L25" s="17"/>
    </row>
    <row r="26" ht="15.75" customHeight="1">
      <c r="A26" s="7">
        <v>25.0</v>
      </c>
      <c r="B26" s="8">
        <v>9.08371014E8</v>
      </c>
      <c r="C26" s="20" t="s">
        <v>113</v>
      </c>
      <c r="D26" s="19">
        <v>2.7463782E7</v>
      </c>
      <c r="E26" s="7">
        <v>2.0</v>
      </c>
      <c r="F26" s="80">
        <v>2.0</v>
      </c>
      <c r="G26" s="12">
        <f t="shared" si="1"/>
        <v>0</v>
      </c>
      <c r="H26" s="30">
        <v>45866.0</v>
      </c>
      <c r="I26" s="19" t="s">
        <v>14</v>
      </c>
      <c r="J26" s="15">
        <v>45867.0</v>
      </c>
      <c r="K26" s="8" t="s">
        <v>613</v>
      </c>
      <c r="L26" s="17"/>
    </row>
    <row r="27" ht="15.75" customHeight="1">
      <c r="A27" s="7">
        <v>26.0</v>
      </c>
      <c r="B27" s="8">
        <v>9.08111101E8</v>
      </c>
      <c r="C27" s="20" t="s">
        <v>24</v>
      </c>
      <c r="D27" s="19">
        <v>2.7463782E7</v>
      </c>
      <c r="E27" s="7">
        <v>6.0</v>
      </c>
      <c r="F27" s="80">
        <v>4.0</v>
      </c>
      <c r="G27" s="12">
        <f t="shared" si="1"/>
        <v>2</v>
      </c>
      <c r="H27" s="30">
        <v>45865.0</v>
      </c>
      <c r="I27" s="19" t="s">
        <v>14</v>
      </c>
      <c r="J27" s="15">
        <v>45867.0</v>
      </c>
      <c r="K27" s="8" t="s">
        <v>613</v>
      </c>
      <c r="L27" s="17"/>
    </row>
    <row r="28" ht="15.75" customHeight="1">
      <c r="A28" s="7">
        <v>27.0</v>
      </c>
      <c r="B28" s="8">
        <v>9.0812201E8</v>
      </c>
      <c r="C28" s="20" t="s">
        <v>80</v>
      </c>
      <c r="D28" s="19">
        <v>2.7463782E7</v>
      </c>
      <c r="E28" s="7">
        <v>8.0</v>
      </c>
      <c r="F28" s="80">
        <v>8.0</v>
      </c>
      <c r="G28" s="12">
        <f t="shared" si="1"/>
        <v>0</v>
      </c>
      <c r="H28" s="30">
        <v>45865.0</v>
      </c>
      <c r="I28" s="19" t="s">
        <v>14</v>
      </c>
      <c r="J28" s="15">
        <v>45867.0</v>
      </c>
      <c r="K28" s="8" t="s">
        <v>613</v>
      </c>
      <c r="L28" s="17"/>
    </row>
    <row r="29" ht="15.75" customHeight="1">
      <c r="A29" s="7">
        <v>28.0</v>
      </c>
      <c r="B29" s="8">
        <v>9.08202189E8</v>
      </c>
      <c r="C29" s="20" t="s">
        <v>55</v>
      </c>
      <c r="D29" s="19">
        <v>2.7463782E7</v>
      </c>
      <c r="E29" s="7">
        <v>2.0</v>
      </c>
      <c r="F29" s="80">
        <v>2.0</v>
      </c>
      <c r="G29" s="12">
        <f t="shared" si="1"/>
        <v>0</v>
      </c>
      <c r="H29" s="30">
        <v>45865.0</v>
      </c>
      <c r="I29" s="19" t="s">
        <v>14</v>
      </c>
      <c r="J29" s="15">
        <v>45867.0</v>
      </c>
      <c r="K29" s="8" t="s">
        <v>613</v>
      </c>
      <c r="L29" s="17"/>
    </row>
    <row r="30" ht="15.75" customHeight="1">
      <c r="A30" s="7">
        <v>29.0</v>
      </c>
      <c r="B30" s="19" t="s">
        <v>20</v>
      </c>
      <c r="C30" s="20" t="s">
        <v>21</v>
      </c>
      <c r="D30" s="19">
        <v>2.7463782E7</v>
      </c>
      <c r="E30" s="7">
        <v>2.0</v>
      </c>
      <c r="F30" s="80">
        <v>2.0</v>
      </c>
      <c r="G30" s="12">
        <f t="shared" si="1"/>
        <v>0</v>
      </c>
      <c r="H30" s="30">
        <v>45865.0</v>
      </c>
      <c r="I30" s="19" t="s">
        <v>14</v>
      </c>
      <c r="J30" s="15">
        <v>45867.0</v>
      </c>
      <c r="K30" s="8" t="s">
        <v>613</v>
      </c>
      <c r="L30" s="17"/>
    </row>
    <row r="31" ht="15.75" customHeight="1">
      <c r="A31" s="7">
        <v>30.0</v>
      </c>
      <c r="B31" s="8">
        <v>9.0820203E8</v>
      </c>
      <c r="C31" s="9" t="s">
        <v>19</v>
      </c>
      <c r="D31" s="19">
        <v>2.7463782E7</v>
      </c>
      <c r="E31" s="7">
        <v>10.0</v>
      </c>
      <c r="F31" s="80">
        <v>2.0</v>
      </c>
      <c r="G31" s="12">
        <f t="shared" si="1"/>
        <v>8</v>
      </c>
      <c r="H31" s="30">
        <v>45865.0</v>
      </c>
      <c r="I31" s="19" t="s">
        <v>14</v>
      </c>
      <c r="J31" s="15">
        <v>45867.0</v>
      </c>
      <c r="K31" s="8" t="s">
        <v>613</v>
      </c>
      <c r="L31" s="17"/>
    </row>
    <row r="32" ht="15.75" customHeight="1">
      <c r="B32" s="8">
        <v>9.08020201E8</v>
      </c>
      <c r="C32" s="9" t="s">
        <v>13</v>
      </c>
      <c r="D32" s="19">
        <v>2.7463782E7</v>
      </c>
      <c r="E32" s="7">
        <v>2.0</v>
      </c>
      <c r="F32" s="80"/>
      <c r="G32" s="12">
        <f t="shared" si="1"/>
        <v>2</v>
      </c>
      <c r="H32" s="30">
        <v>45865.0</v>
      </c>
      <c r="I32" s="19" t="s">
        <v>14</v>
      </c>
      <c r="J32" s="15"/>
      <c r="K32" s="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623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9.08111005E8</v>
      </c>
      <c r="C3" s="9" t="s">
        <v>608</v>
      </c>
      <c r="D3" s="10"/>
      <c r="E3" s="7"/>
      <c r="F3" s="11">
        <v>110.0</v>
      </c>
      <c r="G3" s="12">
        <f t="shared" ref="G3:G9" si="1">E3-F3</f>
        <v>-110</v>
      </c>
      <c r="H3" s="13"/>
      <c r="I3" s="14" t="s">
        <v>14</v>
      </c>
      <c r="J3" s="30">
        <v>45780.0</v>
      </c>
      <c r="K3" s="7" t="s">
        <v>294</v>
      </c>
      <c r="L3" s="9"/>
    </row>
    <row r="4">
      <c r="A4" s="7">
        <v>2.0</v>
      </c>
      <c r="B4" s="8">
        <v>9.08020201E8</v>
      </c>
      <c r="C4" s="9" t="s">
        <v>13</v>
      </c>
      <c r="D4" s="10">
        <v>2.715408E7</v>
      </c>
      <c r="E4" s="7">
        <v>1.0</v>
      </c>
      <c r="F4" s="11">
        <v>1.0</v>
      </c>
      <c r="G4" s="12">
        <f t="shared" si="1"/>
        <v>0</v>
      </c>
      <c r="H4" s="13">
        <v>45796.0</v>
      </c>
      <c r="I4" s="14" t="s">
        <v>14</v>
      </c>
      <c r="J4" s="30">
        <v>45799.0</v>
      </c>
      <c r="K4" s="7" t="s">
        <v>283</v>
      </c>
      <c r="L4" s="9"/>
    </row>
    <row r="5">
      <c r="A5" s="7">
        <v>3.0</v>
      </c>
      <c r="B5" s="8">
        <v>9.0820203E8</v>
      </c>
      <c r="C5" s="9" t="s">
        <v>19</v>
      </c>
      <c r="D5" s="10">
        <v>2.715408E7</v>
      </c>
      <c r="E5" s="7">
        <v>5.0</v>
      </c>
      <c r="F5" s="11">
        <v>1.0</v>
      </c>
      <c r="G5" s="12">
        <f t="shared" si="1"/>
        <v>4</v>
      </c>
      <c r="H5" s="13">
        <v>45796.0</v>
      </c>
      <c r="I5" s="14" t="s">
        <v>14</v>
      </c>
      <c r="J5" s="30">
        <v>45799.0</v>
      </c>
      <c r="K5" s="7" t="s">
        <v>283</v>
      </c>
      <c r="L5" s="9"/>
    </row>
    <row r="6">
      <c r="A6" s="7">
        <v>4.0</v>
      </c>
      <c r="B6" s="19" t="s">
        <v>20</v>
      </c>
      <c r="C6" s="19" t="s">
        <v>624</v>
      </c>
      <c r="D6" s="10">
        <v>2.715408E7</v>
      </c>
      <c r="E6" s="7">
        <v>1.0</v>
      </c>
      <c r="F6" s="11">
        <v>1.0</v>
      </c>
      <c r="G6" s="12">
        <f t="shared" si="1"/>
        <v>0</v>
      </c>
      <c r="H6" s="13">
        <v>45796.0</v>
      </c>
      <c r="I6" s="14" t="s">
        <v>14</v>
      </c>
      <c r="J6" s="30">
        <v>45799.0</v>
      </c>
      <c r="K6" s="7" t="s">
        <v>283</v>
      </c>
      <c r="L6" s="9"/>
    </row>
    <row r="7">
      <c r="A7" s="7">
        <v>5.0</v>
      </c>
      <c r="B7" s="19">
        <v>9.08202189E8</v>
      </c>
      <c r="C7" s="19" t="s">
        <v>55</v>
      </c>
      <c r="D7" s="10">
        <v>2.715408E7</v>
      </c>
      <c r="E7" s="7">
        <v>1.0</v>
      </c>
      <c r="F7" s="11">
        <v>1.0</v>
      </c>
      <c r="G7" s="12">
        <f t="shared" si="1"/>
        <v>0</v>
      </c>
      <c r="H7" s="13">
        <v>45796.0</v>
      </c>
      <c r="I7" s="14" t="s">
        <v>14</v>
      </c>
      <c r="J7" s="30">
        <v>45799.0</v>
      </c>
      <c r="K7" s="7" t="s">
        <v>283</v>
      </c>
      <c r="L7" s="9"/>
    </row>
    <row r="8">
      <c r="A8" s="7">
        <v>6.0</v>
      </c>
      <c r="B8" s="8">
        <v>9.08402207E8</v>
      </c>
      <c r="C8" s="9" t="s">
        <v>377</v>
      </c>
      <c r="D8" s="10">
        <v>2.715408E7</v>
      </c>
      <c r="E8" s="7">
        <v>1.0</v>
      </c>
      <c r="F8" s="11">
        <v>1.0</v>
      </c>
      <c r="G8" s="12">
        <f t="shared" si="1"/>
        <v>0</v>
      </c>
      <c r="H8" s="13">
        <v>45796.0</v>
      </c>
      <c r="I8" s="14" t="s">
        <v>14</v>
      </c>
      <c r="J8" s="30">
        <v>45799.0</v>
      </c>
      <c r="K8" s="7" t="s">
        <v>283</v>
      </c>
      <c r="L8" s="9"/>
    </row>
    <row r="9">
      <c r="A9" s="7">
        <v>7.0</v>
      </c>
      <c r="B9" s="8">
        <v>9.08421001E8</v>
      </c>
      <c r="C9" s="29" t="s">
        <v>532</v>
      </c>
      <c r="D9" s="10">
        <v>2.715408E7</v>
      </c>
      <c r="E9" s="7">
        <v>1.0</v>
      </c>
      <c r="F9" s="11">
        <v>1.0</v>
      </c>
      <c r="G9" s="12">
        <f t="shared" si="1"/>
        <v>0</v>
      </c>
      <c r="H9" s="13">
        <v>45796.0</v>
      </c>
      <c r="I9" s="14" t="s">
        <v>14</v>
      </c>
      <c r="J9" s="30">
        <v>45799.0</v>
      </c>
      <c r="K9" s="7" t="s">
        <v>283</v>
      </c>
      <c r="L9" s="9"/>
    </row>
    <row r="10">
      <c r="A10" s="7">
        <v>8.0</v>
      </c>
      <c r="B10" s="19">
        <v>9.08375008E8</v>
      </c>
      <c r="C10" s="29" t="s">
        <v>625</v>
      </c>
      <c r="D10" s="10"/>
      <c r="E10" s="7"/>
      <c r="F10" s="11">
        <v>6.0</v>
      </c>
      <c r="G10" s="12">
        <v>-1.0</v>
      </c>
      <c r="H10" s="13"/>
      <c r="I10" s="14"/>
      <c r="J10" s="30">
        <v>45799.0</v>
      </c>
      <c r="K10" s="7" t="s">
        <v>283</v>
      </c>
      <c r="L10" s="9"/>
    </row>
    <row r="11">
      <c r="A11" s="7">
        <v>9.0</v>
      </c>
      <c r="B11" s="8">
        <v>9.08111101E8</v>
      </c>
      <c r="C11" s="9" t="s">
        <v>597</v>
      </c>
      <c r="D11" s="10">
        <v>2.715408E7</v>
      </c>
      <c r="E11" s="7">
        <v>3.0</v>
      </c>
      <c r="F11" s="11"/>
      <c r="G11" s="12"/>
      <c r="H11" s="13"/>
      <c r="I11" s="14"/>
      <c r="J11" s="30">
        <v>45799.0</v>
      </c>
      <c r="K11" s="7" t="s">
        <v>283</v>
      </c>
      <c r="L11" s="9"/>
    </row>
    <row r="12">
      <c r="A12" s="7">
        <v>10.0</v>
      </c>
      <c r="B12" s="19" t="s">
        <v>580</v>
      </c>
      <c r="C12" s="20" t="s">
        <v>626</v>
      </c>
      <c r="D12" s="10"/>
      <c r="E12" s="7"/>
      <c r="F12" s="11"/>
      <c r="G12" s="12">
        <v>-1.0</v>
      </c>
      <c r="H12" s="13"/>
      <c r="I12" s="14"/>
      <c r="J12" s="30">
        <v>45799.0</v>
      </c>
      <c r="K12" s="7" t="s">
        <v>283</v>
      </c>
      <c r="L12" s="9"/>
    </row>
    <row r="13">
      <c r="A13" s="7">
        <v>11.0</v>
      </c>
      <c r="B13" s="8">
        <v>9.08370504E8</v>
      </c>
      <c r="C13" s="9" t="s">
        <v>525</v>
      </c>
      <c r="D13" s="10">
        <v>2.715408E7</v>
      </c>
      <c r="E13" s="7">
        <v>1.0</v>
      </c>
      <c r="F13" s="11"/>
      <c r="G13" s="12">
        <v>1.0</v>
      </c>
      <c r="H13" s="13">
        <v>45805.0</v>
      </c>
      <c r="I13" s="14" t="s">
        <v>14</v>
      </c>
      <c r="J13" s="30"/>
      <c r="K13" s="7"/>
      <c r="L13" s="9"/>
    </row>
    <row r="14">
      <c r="A14" s="7"/>
      <c r="B14" s="19"/>
      <c r="C14" s="20"/>
      <c r="D14" s="10"/>
      <c r="E14" s="7"/>
      <c r="F14" s="11"/>
      <c r="G14" s="12"/>
      <c r="H14" s="13"/>
      <c r="I14" s="14"/>
      <c r="J14" s="30"/>
      <c r="K14" s="7"/>
      <c r="L14" s="9"/>
    </row>
    <row r="15">
      <c r="A15" s="7"/>
      <c r="B15" s="19"/>
      <c r="C15" s="20"/>
      <c r="D15" s="10"/>
      <c r="E15" s="7"/>
      <c r="F15" s="11"/>
      <c r="G15" s="12"/>
      <c r="H15" s="13"/>
      <c r="I15" s="14"/>
      <c r="J15" s="30"/>
      <c r="K15" s="7"/>
      <c r="L15" s="9"/>
    </row>
    <row r="18">
      <c r="H18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627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9.08111005E8</v>
      </c>
      <c r="C3" s="9" t="s">
        <v>628</v>
      </c>
      <c r="D3" s="10">
        <v>2.7006912E7</v>
      </c>
      <c r="E3" s="7">
        <v>81.0</v>
      </c>
      <c r="F3" s="11">
        <v>81.0</v>
      </c>
      <c r="G3" s="12">
        <f t="shared" ref="G3:G12" si="1">E3-F3</f>
        <v>0</v>
      </c>
      <c r="H3" s="13">
        <v>45773.0</v>
      </c>
      <c r="I3" s="14" t="s">
        <v>14</v>
      </c>
      <c r="J3" s="15">
        <v>45773.0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593</v>
      </c>
      <c r="D4" s="10">
        <v>2.7006912E7</v>
      </c>
      <c r="E4" s="7">
        <v>2.0</v>
      </c>
      <c r="F4" s="11"/>
      <c r="G4" s="12">
        <f t="shared" si="1"/>
        <v>2</v>
      </c>
      <c r="H4" s="13">
        <v>45773.0</v>
      </c>
      <c r="I4" s="14" t="s">
        <v>14</v>
      </c>
      <c r="J4" s="15"/>
      <c r="K4" s="7"/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9.08421025E8</v>
      </c>
      <c r="C5" s="9" t="s">
        <v>112</v>
      </c>
      <c r="D5" s="10"/>
      <c r="E5" s="7">
        <v>2.0</v>
      </c>
      <c r="F5" s="11">
        <v>2.0</v>
      </c>
      <c r="G5" s="12">
        <f t="shared" si="1"/>
        <v>0</v>
      </c>
      <c r="H5" s="13">
        <v>45847.0</v>
      </c>
      <c r="I5" s="14" t="s">
        <v>14</v>
      </c>
      <c r="J5" s="15">
        <v>45847.0</v>
      </c>
      <c r="K5" s="7" t="s">
        <v>283</v>
      </c>
      <c r="L5" s="9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9.08371014E8</v>
      </c>
      <c r="C6" s="9" t="s">
        <v>113</v>
      </c>
      <c r="D6" s="10"/>
      <c r="E6" s="7">
        <v>2.0</v>
      </c>
      <c r="F6" s="11">
        <v>2.0</v>
      </c>
      <c r="G6" s="12">
        <f t="shared" si="1"/>
        <v>0</v>
      </c>
      <c r="H6" s="13">
        <v>45847.0</v>
      </c>
      <c r="I6" s="14" t="s">
        <v>14</v>
      </c>
      <c r="J6" s="15">
        <v>45847.0</v>
      </c>
      <c r="K6" s="7" t="s">
        <v>283</v>
      </c>
      <c r="L6" s="9"/>
    </row>
    <row r="7">
      <c r="A7" s="7">
        <v>5.0</v>
      </c>
      <c r="B7" s="8">
        <v>9.0820203E8</v>
      </c>
      <c r="C7" s="9" t="s">
        <v>19</v>
      </c>
      <c r="D7" s="10"/>
      <c r="E7" s="7">
        <v>2.0</v>
      </c>
      <c r="F7" s="11">
        <v>2.0</v>
      </c>
      <c r="G7" s="12">
        <f t="shared" si="1"/>
        <v>0</v>
      </c>
      <c r="H7" s="13">
        <v>45847.0</v>
      </c>
      <c r="I7" s="14" t="s">
        <v>14</v>
      </c>
      <c r="J7" s="15">
        <v>45847.0</v>
      </c>
      <c r="K7" s="7" t="s">
        <v>283</v>
      </c>
      <c r="L7" s="9"/>
    </row>
    <row r="8">
      <c r="A8" s="7">
        <v>6.0</v>
      </c>
      <c r="B8" s="8">
        <v>9.08111101E8</v>
      </c>
      <c r="C8" s="9" t="s">
        <v>24</v>
      </c>
      <c r="D8" s="10"/>
      <c r="E8" s="7">
        <v>4.0</v>
      </c>
      <c r="F8" s="11">
        <v>4.0</v>
      </c>
      <c r="G8" s="12">
        <f t="shared" si="1"/>
        <v>0</v>
      </c>
      <c r="H8" s="13">
        <v>45847.0</v>
      </c>
      <c r="I8" s="14" t="s">
        <v>14</v>
      </c>
      <c r="J8" s="15">
        <v>45847.0</v>
      </c>
      <c r="K8" s="7" t="s">
        <v>283</v>
      </c>
      <c r="L8" s="9"/>
    </row>
    <row r="9">
      <c r="A9" s="7">
        <v>7.0</v>
      </c>
      <c r="B9" s="8">
        <v>9.0812201E8</v>
      </c>
      <c r="C9" s="9" t="s">
        <v>80</v>
      </c>
      <c r="D9" s="10"/>
      <c r="E9" s="7">
        <v>8.0</v>
      </c>
      <c r="F9" s="11">
        <v>8.0</v>
      </c>
      <c r="G9" s="12">
        <f t="shared" si="1"/>
        <v>0</v>
      </c>
      <c r="H9" s="13">
        <v>45847.0</v>
      </c>
      <c r="I9" s="14" t="s">
        <v>14</v>
      </c>
      <c r="J9" s="15">
        <v>45847.0</v>
      </c>
      <c r="K9" s="7" t="s">
        <v>283</v>
      </c>
      <c r="L9" s="9"/>
    </row>
    <row r="10">
      <c r="A10" s="7">
        <v>8.0</v>
      </c>
      <c r="B10" s="8">
        <v>9.08402208E8</v>
      </c>
      <c r="C10" s="8" t="s">
        <v>111</v>
      </c>
      <c r="D10" s="10"/>
      <c r="E10" s="7">
        <v>2.0</v>
      </c>
      <c r="F10" s="11">
        <v>6.0</v>
      </c>
      <c r="G10" s="12">
        <f t="shared" si="1"/>
        <v>-4</v>
      </c>
      <c r="H10" s="13">
        <v>45847.0</v>
      </c>
      <c r="I10" s="14" t="s">
        <v>14</v>
      </c>
      <c r="J10" s="15">
        <v>45847.0</v>
      </c>
      <c r="K10" s="7" t="s">
        <v>283</v>
      </c>
      <c r="L10" s="9"/>
    </row>
    <row r="11">
      <c r="A11" s="7">
        <v>9.0</v>
      </c>
      <c r="B11" s="8">
        <v>9.08202189E8</v>
      </c>
      <c r="C11" s="9" t="s">
        <v>55</v>
      </c>
      <c r="D11" s="10"/>
      <c r="E11" s="7">
        <v>2.0</v>
      </c>
      <c r="F11" s="11">
        <v>2.0</v>
      </c>
      <c r="G11" s="12">
        <f t="shared" si="1"/>
        <v>0</v>
      </c>
      <c r="H11" s="13">
        <v>45847.0</v>
      </c>
      <c r="I11" s="14" t="s">
        <v>14</v>
      </c>
      <c r="J11" s="15">
        <v>45847.0</v>
      </c>
      <c r="K11" s="7" t="s">
        <v>283</v>
      </c>
      <c r="L11" s="9"/>
    </row>
    <row r="12">
      <c r="A12" s="7">
        <v>10.0</v>
      </c>
      <c r="B12" s="19" t="s">
        <v>20</v>
      </c>
      <c r="C12" s="20" t="s">
        <v>21</v>
      </c>
      <c r="D12" s="10"/>
      <c r="E12" s="7">
        <v>2.0</v>
      </c>
      <c r="F12" s="11">
        <v>2.0</v>
      </c>
      <c r="G12" s="12">
        <f t="shared" si="1"/>
        <v>0</v>
      </c>
      <c r="H12" s="13">
        <v>45847.0</v>
      </c>
      <c r="I12" s="14" t="s">
        <v>14</v>
      </c>
      <c r="J12" s="15"/>
      <c r="K12" s="7"/>
      <c r="L12" s="9"/>
    </row>
    <row r="13">
      <c r="A13" s="7"/>
      <c r="B13" s="8"/>
      <c r="C13" s="9"/>
      <c r="D13" s="10"/>
      <c r="E13" s="7"/>
      <c r="F13" s="11"/>
      <c r="G13" s="12"/>
      <c r="H13" s="13"/>
      <c r="I13" s="14"/>
      <c r="J13" s="15"/>
      <c r="K13" s="7"/>
      <c r="L13" s="9"/>
    </row>
    <row r="14">
      <c r="A14" s="7"/>
      <c r="B14" s="8"/>
      <c r="C14" s="9"/>
      <c r="D14" s="10"/>
      <c r="E14" s="7"/>
      <c r="F14" s="11"/>
      <c r="G14" s="12"/>
      <c r="H14" s="13"/>
      <c r="I14" s="14"/>
      <c r="J14" s="15"/>
      <c r="K14" s="7"/>
      <c r="L14" s="9"/>
    </row>
    <row r="15">
      <c r="A15" s="7"/>
      <c r="B15" s="8"/>
      <c r="C15" s="9"/>
      <c r="D15" s="10"/>
      <c r="E15" s="7"/>
      <c r="F15" s="11"/>
      <c r="G15" s="12"/>
      <c r="H15" s="13"/>
      <c r="I15" s="14"/>
      <c r="J15" s="15"/>
      <c r="K15" s="7"/>
      <c r="L15" s="9"/>
    </row>
    <row r="18">
      <c r="H18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9.08111005E8</v>
      </c>
      <c r="C3" s="9" t="s">
        <v>628</v>
      </c>
      <c r="D3" s="10">
        <v>2.7006989E7</v>
      </c>
      <c r="E3" s="7">
        <v>29.0</v>
      </c>
      <c r="F3" s="11">
        <v>29.0</v>
      </c>
      <c r="G3" s="12">
        <f t="shared" ref="G3:G14" si="1">E3-F3</f>
        <v>0</v>
      </c>
      <c r="H3" s="13">
        <v>45773.0</v>
      </c>
      <c r="I3" s="14" t="s">
        <v>14</v>
      </c>
      <c r="J3" s="15">
        <v>45773.0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593</v>
      </c>
      <c r="D4" s="10">
        <v>2.7006989E7</v>
      </c>
      <c r="E4" s="7">
        <v>2.0</v>
      </c>
      <c r="F4" s="11"/>
      <c r="G4" s="12">
        <f t="shared" si="1"/>
        <v>2</v>
      </c>
      <c r="H4" s="13">
        <v>45773.0</v>
      </c>
      <c r="I4" s="14" t="s">
        <v>14</v>
      </c>
      <c r="J4" s="15"/>
      <c r="K4" s="7"/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9.08421029E8</v>
      </c>
      <c r="C5" s="20" t="s">
        <v>630</v>
      </c>
      <c r="D5" s="10">
        <v>2.7579438E7</v>
      </c>
      <c r="E5" s="7">
        <v>2.0</v>
      </c>
      <c r="F5" s="11">
        <v>2.0</v>
      </c>
      <c r="G5" s="12">
        <f t="shared" si="1"/>
        <v>0</v>
      </c>
      <c r="H5" s="13">
        <v>45883.0</v>
      </c>
      <c r="I5" s="14" t="s">
        <v>14</v>
      </c>
      <c r="J5" s="15">
        <v>45886.0</v>
      </c>
      <c r="K5" s="7" t="s">
        <v>283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9.08020201E8</v>
      </c>
      <c r="C6" s="9" t="s">
        <v>13</v>
      </c>
      <c r="D6" s="10">
        <v>2.7579438E7</v>
      </c>
      <c r="E6" s="7">
        <v>2.0</v>
      </c>
      <c r="F6" s="11"/>
      <c r="G6" s="12">
        <f t="shared" si="1"/>
        <v>2</v>
      </c>
      <c r="H6" s="13">
        <v>45883.0</v>
      </c>
      <c r="I6" s="14" t="s">
        <v>14</v>
      </c>
      <c r="J6" s="15"/>
      <c r="K6" s="7"/>
      <c r="L6" s="20"/>
    </row>
    <row r="7">
      <c r="A7" s="7">
        <v>5.0</v>
      </c>
      <c r="B7" s="8">
        <v>9.0820203E8</v>
      </c>
      <c r="C7" s="9" t="s">
        <v>19</v>
      </c>
      <c r="D7" s="10">
        <v>2.7579438E7</v>
      </c>
      <c r="E7" s="7">
        <v>22.0</v>
      </c>
      <c r="F7" s="11"/>
      <c r="G7" s="12">
        <f t="shared" si="1"/>
        <v>22</v>
      </c>
      <c r="H7" s="13">
        <v>45883.0</v>
      </c>
      <c r="I7" s="14" t="s">
        <v>14</v>
      </c>
      <c r="J7" s="15"/>
      <c r="K7" s="7"/>
      <c r="L7" s="20"/>
    </row>
    <row r="8">
      <c r="A8" s="7">
        <v>6.0</v>
      </c>
      <c r="B8" s="8">
        <v>9.0812201E8</v>
      </c>
      <c r="C8" s="9" t="s">
        <v>80</v>
      </c>
      <c r="D8" s="10">
        <v>2.7579438E7</v>
      </c>
      <c r="E8" s="7">
        <v>8.0</v>
      </c>
      <c r="F8" s="11"/>
      <c r="G8" s="12">
        <f t="shared" si="1"/>
        <v>8</v>
      </c>
      <c r="H8" s="13">
        <v>45883.0</v>
      </c>
      <c r="I8" s="14" t="s">
        <v>14</v>
      </c>
      <c r="J8" s="15"/>
      <c r="K8" s="7"/>
      <c r="L8" s="20"/>
    </row>
    <row r="9">
      <c r="A9" s="7">
        <v>7.0</v>
      </c>
      <c r="B9" s="8">
        <v>9.08371013E8</v>
      </c>
      <c r="C9" s="9" t="s">
        <v>631</v>
      </c>
      <c r="D9" s="10">
        <v>2.7579438E7</v>
      </c>
      <c r="E9" s="7">
        <v>4.0</v>
      </c>
      <c r="F9" s="11">
        <v>4.0</v>
      </c>
      <c r="G9" s="12">
        <f t="shared" si="1"/>
        <v>0</v>
      </c>
      <c r="H9" s="13">
        <v>45883.0</v>
      </c>
      <c r="I9" s="14" t="s">
        <v>14</v>
      </c>
      <c r="J9" s="15">
        <v>45886.0</v>
      </c>
      <c r="K9" s="7" t="s">
        <v>283</v>
      </c>
      <c r="L9" s="20"/>
    </row>
    <row r="10">
      <c r="A10" s="7">
        <v>8.0</v>
      </c>
      <c r="B10" s="8">
        <v>9.08402208E8</v>
      </c>
      <c r="C10" s="9" t="s">
        <v>111</v>
      </c>
      <c r="D10" s="10">
        <v>2.7579438E7</v>
      </c>
      <c r="E10" s="7">
        <v>4.0</v>
      </c>
      <c r="F10" s="11">
        <v>6.0</v>
      </c>
      <c r="G10" s="12">
        <f t="shared" si="1"/>
        <v>-2</v>
      </c>
      <c r="H10" s="13">
        <v>45883.0</v>
      </c>
      <c r="I10" s="14" t="s">
        <v>14</v>
      </c>
      <c r="J10" s="15">
        <v>45886.0</v>
      </c>
      <c r="K10" s="7" t="s">
        <v>283</v>
      </c>
      <c r="L10" s="20"/>
    </row>
    <row r="11">
      <c r="A11" s="7">
        <v>9.0</v>
      </c>
      <c r="B11" s="8">
        <v>9.08202189E8</v>
      </c>
      <c r="C11" s="9" t="s">
        <v>55</v>
      </c>
      <c r="D11" s="10">
        <v>2.7579438E7</v>
      </c>
      <c r="E11" s="7">
        <v>2.0</v>
      </c>
      <c r="F11" s="11">
        <v>2.0</v>
      </c>
      <c r="G11" s="12">
        <f t="shared" si="1"/>
        <v>0</v>
      </c>
      <c r="H11" s="13">
        <v>45883.0</v>
      </c>
      <c r="I11" s="14" t="s">
        <v>14</v>
      </c>
      <c r="J11" s="15">
        <v>45886.0</v>
      </c>
      <c r="K11" s="7" t="s">
        <v>283</v>
      </c>
      <c r="L11" s="20"/>
    </row>
    <row r="12">
      <c r="A12" s="7">
        <v>10.0</v>
      </c>
      <c r="B12" s="8" t="s">
        <v>20</v>
      </c>
      <c r="C12" s="9" t="s">
        <v>21</v>
      </c>
      <c r="D12" s="10">
        <v>2.7579438E7</v>
      </c>
      <c r="E12" s="7">
        <v>2.0</v>
      </c>
      <c r="F12" s="11">
        <v>2.0</v>
      </c>
      <c r="G12" s="12">
        <f t="shared" si="1"/>
        <v>0</v>
      </c>
      <c r="H12" s="13">
        <v>45883.0</v>
      </c>
      <c r="I12" s="14" t="s">
        <v>14</v>
      </c>
      <c r="J12" s="15">
        <v>45886.0</v>
      </c>
      <c r="K12" s="7" t="s">
        <v>283</v>
      </c>
      <c r="L12" s="20"/>
    </row>
    <row r="13">
      <c r="A13" s="7">
        <v>11.0</v>
      </c>
      <c r="B13" s="8">
        <v>9.08111101E8</v>
      </c>
      <c r="C13" s="9" t="s">
        <v>24</v>
      </c>
      <c r="D13" s="10">
        <v>2.7579438E7</v>
      </c>
      <c r="E13" s="7">
        <v>8.0</v>
      </c>
      <c r="F13" s="11">
        <v>4.0</v>
      </c>
      <c r="G13" s="12">
        <f t="shared" si="1"/>
        <v>4</v>
      </c>
      <c r="H13" s="13">
        <v>45883.0</v>
      </c>
      <c r="I13" s="14" t="s">
        <v>14</v>
      </c>
      <c r="J13" s="15">
        <v>45886.0</v>
      </c>
      <c r="K13" s="7" t="s">
        <v>283</v>
      </c>
      <c r="L13" s="20"/>
    </row>
    <row r="14">
      <c r="A14" s="7">
        <v>12.0</v>
      </c>
      <c r="B14" s="8">
        <v>9.08122003E8</v>
      </c>
      <c r="C14" s="20" t="s">
        <v>368</v>
      </c>
      <c r="D14" s="10">
        <v>2.7579438E7</v>
      </c>
      <c r="E14" s="7">
        <v>16.0</v>
      </c>
      <c r="F14" s="11"/>
      <c r="G14" s="12">
        <f t="shared" si="1"/>
        <v>16</v>
      </c>
      <c r="H14" s="13">
        <v>45883.0</v>
      </c>
      <c r="I14" s="14" t="s">
        <v>14</v>
      </c>
      <c r="J14" s="15"/>
      <c r="K14" s="7"/>
      <c r="L14" s="20"/>
    </row>
    <row r="15">
      <c r="A15" s="7"/>
      <c r="B15" s="8"/>
      <c r="C15" s="9"/>
      <c r="D15" s="10"/>
      <c r="E15" s="7"/>
      <c r="F15" s="11"/>
      <c r="G15" s="12"/>
      <c r="H15" s="13"/>
      <c r="I15" s="14"/>
      <c r="J15" s="15"/>
      <c r="K15" s="7"/>
      <c r="L15" s="20"/>
    </row>
    <row r="16">
      <c r="A16" s="7"/>
      <c r="B16" s="8"/>
      <c r="C16" s="9"/>
      <c r="D16" s="10"/>
      <c r="E16" s="7"/>
      <c r="F16" s="11"/>
      <c r="G16" s="12"/>
      <c r="H16" s="13" t="s">
        <v>341</v>
      </c>
      <c r="I16" s="14"/>
      <c r="J16" s="15"/>
      <c r="K16" s="7"/>
      <c r="L16" s="20"/>
    </row>
    <row r="17">
      <c r="A17" s="7"/>
      <c r="B17" s="8"/>
      <c r="C17" s="9"/>
      <c r="D17" s="10"/>
      <c r="E17" s="7"/>
      <c r="F17" s="11"/>
      <c r="G17" s="12"/>
      <c r="H17" s="13"/>
      <c r="I17" s="14"/>
      <c r="J17" s="15"/>
      <c r="K17" s="7"/>
      <c r="L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632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9.08402207E8</v>
      </c>
      <c r="C3" s="9" t="s">
        <v>377</v>
      </c>
      <c r="D3" s="10">
        <v>2.7000796E7</v>
      </c>
      <c r="E3" s="7">
        <v>1.0</v>
      </c>
      <c r="F3" s="11">
        <v>1.0</v>
      </c>
      <c r="G3" s="12">
        <f t="shared" ref="G3:G4" si="1">E3-F3</f>
        <v>0</v>
      </c>
      <c r="H3" s="13">
        <v>45768.0</v>
      </c>
      <c r="I3" s="14" t="s">
        <v>14</v>
      </c>
      <c r="J3" s="15">
        <v>45775.0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9.08370504E8</v>
      </c>
      <c r="C4" s="9" t="s">
        <v>525</v>
      </c>
      <c r="D4" s="10">
        <v>2.7000796E7</v>
      </c>
      <c r="E4" s="7">
        <v>1.0</v>
      </c>
      <c r="F4" s="11">
        <v>1.0</v>
      </c>
      <c r="G4" s="12">
        <f t="shared" si="1"/>
        <v>0</v>
      </c>
      <c r="H4" s="13">
        <v>45768.0</v>
      </c>
      <c r="I4" s="14" t="s">
        <v>14</v>
      </c>
      <c r="J4" s="15">
        <v>45775.0</v>
      </c>
      <c r="K4" s="7" t="s">
        <v>294</v>
      </c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/>
      <c r="C5" s="9"/>
      <c r="D5" s="10"/>
      <c r="E5" s="7"/>
      <c r="F5" s="11"/>
      <c r="G5" s="12"/>
      <c r="H5" s="13"/>
      <c r="I5" s="14"/>
      <c r="J5" s="15"/>
      <c r="K5" s="7"/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8" ht="34.5" customHeight="1">
      <c r="B8" s="132" t="s">
        <v>633</v>
      </c>
      <c r="C8" s="133"/>
      <c r="D8" s="133"/>
      <c r="E8" s="133"/>
      <c r="F8" s="133"/>
      <c r="G8" s="133"/>
      <c r="H8" s="133"/>
      <c r="I8" s="133"/>
      <c r="J8" s="133"/>
      <c r="K8" s="133"/>
      <c r="L8" s="27"/>
    </row>
    <row r="9">
      <c r="A9" s="7">
        <v>1.0</v>
      </c>
      <c r="B9" s="102">
        <v>9.08402206E8</v>
      </c>
      <c r="C9" s="103" t="s">
        <v>634</v>
      </c>
      <c r="D9" s="134" t="s">
        <v>635</v>
      </c>
      <c r="E9" s="103" t="s">
        <v>294</v>
      </c>
    </row>
    <row r="10">
      <c r="A10" s="7">
        <v>2.0</v>
      </c>
      <c r="B10" s="8">
        <v>9.08371013E8</v>
      </c>
      <c r="C10" s="9" t="s">
        <v>364</v>
      </c>
      <c r="D10" s="134" t="s">
        <v>635</v>
      </c>
      <c r="E10" s="9" t="s">
        <v>294</v>
      </c>
      <c r="F10" s="18">
        <v>6.0</v>
      </c>
    </row>
    <row r="18">
      <c r="H18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B8:L8"/>
  </mergeCells>
  <printOptions/>
  <pageMargins bottom="0.75" footer="0.0" header="0.0" left="0.7" right="0.7" top="0.75"/>
  <pageSetup scale="27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9.08122037E8</v>
      </c>
      <c r="C3" s="9" t="s">
        <v>460</v>
      </c>
      <c r="D3" s="10">
        <v>2.6987757E7</v>
      </c>
      <c r="E3" s="7">
        <v>4.0</v>
      </c>
      <c r="F3" s="11"/>
      <c r="G3" s="12">
        <f t="shared" ref="G3:G9" si="1">E3-F3</f>
        <v>4</v>
      </c>
      <c r="H3" s="13">
        <v>45770.0</v>
      </c>
      <c r="I3" s="14" t="s">
        <v>14</v>
      </c>
      <c r="J3" s="15"/>
      <c r="K3" s="7"/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9.0820203E8</v>
      </c>
      <c r="C4" s="9" t="s">
        <v>19</v>
      </c>
      <c r="D4" s="10">
        <v>2.6987757E7</v>
      </c>
      <c r="E4" s="7">
        <v>5.0</v>
      </c>
      <c r="F4" s="11">
        <v>2.0</v>
      </c>
      <c r="G4" s="12">
        <f t="shared" si="1"/>
        <v>3</v>
      </c>
      <c r="H4" s="13">
        <v>45770.0</v>
      </c>
      <c r="I4" s="14" t="s">
        <v>14</v>
      </c>
      <c r="J4" s="15">
        <v>45771.0</v>
      </c>
      <c r="K4" s="7" t="s">
        <v>294</v>
      </c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9.08202189E8</v>
      </c>
      <c r="C5" s="9" t="s">
        <v>55</v>
      </c>
      <c r="D5" s="10">
        <v>2.6987757E7</v>
      </c>
      <c r="E5" s="7">
        <v>1.0</v>
      </c>
      <c r="F5" s="11">
        <v>1.0</v>
      </c>
      <c r="G5" s="12">
        <f t="shared" si="1"/>
        <v>0</v>
      </c>
      <c r="H5" s="13">
        <v>45770.0</v>
      </c>
      <c r="I5" s="14" t="s">
        <v>14</v>
      </c>
      <c r="J5" s="15">
        <v>45771.0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9.08111101E8</v>
      </c>
      <c r="C6" s="9" t="s">
        <v>597</v>
      </c>
      <c r="D6" s="10">
        <v>2.6987757E7</v>
      </c>
      <c r="E6" s="7">
        <v>3.0</v>
      </c>
      <c r="F6" s="11">
        <v>2.0</v>
      </c>
      <c r="G6" s="12">
        <f t="shared" si="1"/>
        <v>1</v>
      </c>
      <c r="H6" s="13">
        <v>45770.0</v>
      </c>
      <c r="I6" s="14" t="s">
        <v>14</v>
      </c>
      <c r="J6" s="15">
        <v>45771.0</v>
      </c>
      <c r="K6" s="7" t="s">
        <v>294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19" t="s">
        <v>20</v>
      </c>
      <c r="C7" s="20" t="s">
        <v>21</v>
      </c>
      <c r="D7" s="10">
        <v>2.6987757E7</v>
      </c>
      <c r="E7" s="7">
        <v>1.0</v>
      </c>
      <c r="F7" s="11">
        <v>1.0</v>
      </c>
      <c r="G7" s="12">
        <f t="shared" si="1"/>
        <v>0</v>
      </c>
      <c r="H7" s="13">
        <v>45770.0</v>
      </c>
      <c r="I7" s="14" t="s">
        <v>14</v>
      </c>
      <c r="J7" s="15">
        <v>45771.0</v>
      </c>
      <c r="K7" s="7" t="s">
        <v>294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>
        <v>6.0</v>
      </c>
      <c r="B8" s="8">
        <v>9.08122008E8</v>
      </c>
      <c r="C8" s="9" t="s">
        <v>79</v>
      </c>
      <c r="D8" s="10">
        <v>2.6987757E7</v>
      </c>
      <c r="E8" s="7">
        <v>4.0</v>
      </c>
      <c r="F8" s="11">
        <v>4.0</v>
      </c>
      <c r="G8" s="12">
        <f t="shared" si="1"/>
        <v>0</v>
      </c>
      <c r="H8" s="13">
        <v>45770.0</v>
      </c>
      <c r="I8" s="14" t="s">
        <v>14</v>
      </c>
      <c r="J8" s="15">
        <v>45771.0</v>
      </c>
      <c r="K8" s="7" t="s">
        <v>294</v>
      </c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7">
        <v>7.0</v>
      </c>
      <c r="B9" s="8">
        <v>9.08122039E8</v>
      </c>
      <c r="C9" s="9" t="s">
        <v>130</v>
      </c>
      <c r="D9" s="10"/>
      <c r="E9" s="7"/>
      <c r="F9" s="11">
        <v>4.0</v>
      </c>
      <c r="G9" s="12">
        <f t="shared" si="1"/>
        <v>-4</v>
      </c>
      <c r="H9" s="13"/>
      <c r="I9" s="14"/>
      <c r="J9" s="15">
        <v>45771.0</v>
      </c>
      <c r="K9" s="7" t="s">
        <v>294</v>
      </c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/>
      <c r="B10" s="8"/>
      <c r="C10" s="9"/>
      <c r="D10" s="10"/>
      <c r="E10" s="7"/>
      <c r="F10" s="11">
        <v>6.0</v>
      </c>
      <c r="G10" s="12"/>
      <c r="H10" s="13"/>
      <c r="I10" s="14"/>
      <c r="J10" s="15"/>
      <c r="K10" s="7"/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/>
      <c r="B11" s="8"/>
      <c r="C11" s="9"/>
      <c r="D11" s="10"/>
      <c r="E11" s="7"/>
      <c r="F11" s="11"/>
      <c r="G11" s="12"/>
      <c r="H11" s="13"/>
      <c r="I11" s="14"/>
      <c r="J11" s="15"/>
      <c r="K11" s="7"/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7"/>
      <c r="B12" s="8"/>
      <c r="C12" s="9"/>
      <c r="D12" s="10"/>
      <c r="E12" s="7"/>
      <c r="F12" s="11"/>
      <c r="G12" s="12"/>
      <c r="H12" s="13"/>
      <c r="I12" s="14"/>
      <c r="J12" s="15"/>
      <c r="K12" s="7"/>
      <c r="L12" s="2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"/>
      <c r="B13" s="8"/>
      <c r="C13" s="9"/>
      <c r="D13" s="10"/>
      <c r="E13" s="7"/>
      <c r="F13" s="11"/>
      <c r="G13" s="12"/>
      <c r="H13" s="13"/>
      <c r="I13" s="14"/>
      <c r="J13" s="15"/>
      <c r="K13" s="7"/>
      <c r="L13" s="20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1.5" customHeight="1">
      <c r="A14" s="7"/>
      <c r="B14" s="8"/>
      <c r="C14" s="9"/>
      <c r="D14" s="10"/>
      <c r="E14" s="7"/>
      <c r="F14" s="11"/>
      <c r="G14" s="12"/>
      <c r="H14" s="13"/>
      <c r="I14" s="14"/>
      <c r="J14" s="15"/>
      <c r="K14" s="7"/>
      <c r="L14" s="9"/>
    </row>
    <row r="15" ht="39.0" customHeight="1">
      <c r="A15" s="135" t="s">
        <v>637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ht="31.5" customHeight="1">
      <c r="A16" s="118">
        <v>1.0</v>
      </c>
      <c r="B16" s="118">
        <v>9.08111007E8</v>
      </c>
      <c r="C16" s="118" t="s">
        <v>451</v>
      </c>
      <c r="D16" s="118" t="s">
        <v>638</v>
      </c>
      <c r="E16" s="1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5:L15"/>
  </mergeCells>
  <printOptions/>
  <pageMargins bottom="0.75" footer="0.0" header="0.0" left="0.7" right="0.7" top="0.75"/>
  <pageSetup scale="27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639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9.0812201E8</v>
      </c>
      <c r="C3" s="9" t="s">
        <v>80</v>
      </c>
      <c r="D3" s="10">
        <v>2.7015196E7</v>
      </c>
      <c r="E3" s="7">
        <v>8.0</v>
      </c>
      <c r="F3" s="11"/>
      <c r="G3" s="12">
        <f t="shared" ref="G3:G7" si="1">E3-F3</f>
        <v>8</v>
      </c>
      <c r="H3" s="13">
        <v>45770.0</v>
      </c>
      <c r="I3" s="14" t="s">
        <v>14</v>
      </c>
      <c r="J3" s="15">
        <v>45774.0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5.5" customHeight="1">
      <c r="A4" s="7">
        <v>2.0</v>
      </c>
      <c r="B4" s="8">
        <v>9.0820203E8</v>
      </c>
      <c r="C4" s="9" t="s">
        <v>19</v>
      </c>
      <c r="D4" s="10">
        <v>2.7015196E7</v>
      </c>
      <c r="E4" s="7">
        <v>8.0</v>
      </c>
      <c r="F4" s="11">
        <v>8.0</v>
      </c>
      <c r="G4" s="12">
        <f t="shared" si="1"/>
        <v>0</v>
      </c>
      <c r="H4" s="13">
        <v>45770.0</v>
      </c>
      <c r="I4" s="14" t="s">
        <v>14</v>
      </c>
      <c r="J4" s="15">
        <v>45774.0</v>
      </c>
      <c r="K4" s="7" t="s">
        <v>294</v>
      </c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9.08202189E8</v>
      </c>
      <c r="C5" s="9" t="s">
        <v>55</v>
      </c>
      <c r="D5" s="10">
        <v>2.7015196E7</v>
      </c>
      <c r="E5" s="7">
        <v>2.0</v>
      </c>
      <c r="F5" s="11">
        <v>1.0</v>
      </c>
      <c r="G5" s="12">
        <f t="shared" si="1"/>
        <v>1</v>
      </c>
      <c r="H5" s="13">
        <v>45770.0</v>
      </c>
      <c r="I5" s="14" t="s">
        <v>14</v>
      </c>
      <c r="J5" s="15">
        <v>45774.0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9.08111101E8</v>
      </c>
      <c r="C6" s="9" t="s">
        <v>597</v>
      </c>
      <c r="D6" s="10">
        <v>2.7015196E7</v>
      </c>
      <c r="E6" s="7">
        <v>6.0</v>
      </c>
      <c r="F6" s="11">
        <v>4.0</v>
      </c>
      <c r="G6" s="12">
        <f t="shared" si="1"/>
        <v>2</v>
      </c>
      <c r="H6" s="13">
        <v>45770.0</v>
      </c>
      <c r="I6" s="14" t="s">
        <v>14</v>
      </c>
      <c r="J6" s="15">
        <v>45774.0</v>
      </c>
      <c r="K6" s="7" t="s">
        <v>294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19" t="s">
        <v>20</v>
      </c>
      <c r="C7" s="20" t="s">
        <v>21</v>
      </c>
      <c r="D7" s="10">
        <v>2.7015196E7</v>
      </c>
      <c r="E7" s="7">
        <v>1.0</v>
      </c>
      <c r="F7" s="11">
        <v>1.0</v>
      </c>
      <c r="G7" s="12">
        <f t="shared" si="1"/>
        <v>0</v>
      </c>
      <c r="H7" s="13">
        <v>45770.0</v>
      </c>
      <c r="I7" s="14" t="s">
        <v>14</v>
      </c>
      <c r="J7" s="15">
        <v>45774.0</v>
      </c>
      <c r="K7" s="7" t="s">
        <v>294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/>
      <c r="B8" s="8"/>
      <c r="C8" s="9"/>
      <c r="D8" s="10"/>
      <c r="E8" s="7"/>
      <c r="F8" s="11"/>
      <c r="G8" s="12"/>
      <c r="H8" s="13"/>
      <c r="I8" s="14"/>
      <c r="J8" s="15"/>
      <c r="K8" s="7"/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7"/>
      <c r="B9" s="8"/>
      <c r="C9" s="9"/>
      <c r="D9" s="10"/>
      <c r="E9" s="7"/>
      <c r="F9" s="11"/>
      <c r="G9" s="12"/>
      <c r="H9" s="13"/>
      <c r="I9" s="14"/>
      <c r="J9" s="15"/>
      <c r="K9" s="7"/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/>
      <c r="B10" s="8"/>
      <c r="C10" s="9"/>
      <c r="D10" s="10"/>
      <c r="E10" s="7"/>
      <c r="F10" s="11">
        <v>6.0</v>
      </c>
      <c r="G10" s="12"/>
      <c r="H10" s="13"/>
      <c r="I10" s="14"/>
      <c r="J10" s="15"/>
      <c r="K10" s="7"/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/>
      <c r="B11" s="8"/>
      <c r="C11" s="9"/>
      <c r="D11" s="10"/>
      <c r="E11" s="7"/>
      <c r="F11" s="11"/>
      <c r="G11" s="12"/>
      <c r="H11" s="13"/>
      <c r="I11" s="14"/>
      <c r="J11" s="15"/>
      <c r="K11" s="7"/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7"/>
      <c r="B12" s="8"/>
      <c r="C12" s="9"/>
      <c r="D12" s="10"/>
      <c r="E12" s="7"/>
      <c r="F12" s="11"/>
      <c r="G12" s="12"/>
      <c r="H12" s="13"/>
      <c r="I12" s="14"/>
      <c r="J12" s="15"/>
      <c r="K12" s="7"/>
      <c r="L12" s="2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"/>
      <c r="B13" s="8"/>
      <c r="C13" s="9"/>
      <c r="D13" s="10"/>
      <c r="E13" s="7"/>
      <c r="F13" s="11"/>
      <c r="G13" s="12"/>
      <c r="H13" s="13"/>
      <c r="I13" s="14"/>
      <c r="J13" s="15"/>
      <c r="K13" s="7"/>
      <c r="L13" s="20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1.5" customHeight="1">
      <c r="A14" s="7"/>
      <c r="B14" s="8"/>
      <c r="C14" s="9"/>
      <c r="D14" s="10"/>
      <c r="E14" s="7"/>
      <c r="F14" s="11"/>
      <c r="G14" s="12"/>
      <c r="H14" s="13"/>
      <c r="I14" s="14"/>
      <c r="J14" s="15"/>
      <c r="K14" s="7"/>
      <c r="L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640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9" t="s">
        <v>611</v>
      </c>
      <c r="C3" s="20" t="s">
        <v>612</v>
      </c>
      <c r="D3" s="19" t="s">
        <v>641</v>
      </c>
      <c r="E3" s="7">
        <v>2.0</v>
      </c>
      <c r="F3" s="11">
        <v>2.0</v>
      </c>
      <c r="G3" s="12">
        <f>E3-F3</f>
        <v>0</v>
      </c>
      <c r="H3" s="13">
        <v>45770.0</v>
      </c>
      <c r="I3" s="14" t="s">
        <v>14</v>
      </c>
      <c r="J3" s="15">
        <v>45811.0</v>
      </c>
      <c r="K3" s="7" t="s">
        <v>642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19" t="s">
        <v>580</v>
      </c>
      <c r="C4" s="20" t="s">
        <v>581</v>
      </c>
      <c r="D4" s="19" t="s">
        <v>641</v>
      </c>
      <c r="E4" s="7">
        <v>2.0</v>
      </c>
      <c r="F4" s="11"/>
      <c r="G4" s="12">
        <v>2.0</v>
      </c>
      <c r="H4" s="13">
        <v>45770.0</v>
      </c>
      <c r="I4" s="14" t="s">
        <v>14</v>
      </c>
      <c r="J4" s="15"/>
      <c r="K4" s="7"/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19" t="s">
        <v>616</v>
      </c>
      <c r="C5" s="20" t="s">
        <v>149</v>
      </c>
      <c r="D5" s="19" t="s">
        <v>641</v>
      </c>
      <c r="E5" s="7">
        <v>1.0</v>
      </c>
      <c r="F5" s="11">
        <v>1.0</v>
      </c>
      <c r="G5" s="12">
        <f t="shared" ref="G5:G21" si="1">E5-F5</f>
        <v>0</v>
      </c>
      <c r="H5" s="13">
        <v>45770.0</v>
      </c>
      <c r="I5" s="14" t="s">
        <v>14</v>
      </c>
      <c r="J5" s="15">
        <v>45798.0</v>
      </c>
      <c r="K5" s="7" t="s">
        <v>643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19" t="s">
        <v>20</v>
      </c>
      <c r="C6" s="20" t="s">
        <v>21</v>
      </c>
      <c r="D6" s="19" t="s">
        <v>641</v>
      </c>
      <c r="E6" s="7">
        <v>2.0</v>
      </c>
      <c r="F6" s="11">
        <v>2.0</v>
      </c>
      <c r="G6" s="12">
        <f t="shared" si="1"/>
        <v>0</v>
      </c>
      <c r="H6" s="13">
        <v>45770.0</v>
      </c>
      <c r="I6" s="14" t="s">
        <v>14</v>
      </c>
      <c r="J6" s="15">
        <v>45798.0</v>
      </c>
      <c r="K6" s="7" t="s">
        <v>643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19" t="s">
        <v>103</v>
      </c>
      <c r="C7" s="20" t="s">
        <v>104</v>
      </c>
      <c r="D7" s="19" t="s">
        <v>641</v>
      </c>
      <c r="E7" s="7">
        <v>1.0</v>
      </c>
      <c r="F7" s="11">
        <v>1.0</v>
      </c>
      <c r="G7" s="12">
        <f t="shared" si="1"/>
        <v>0</v>
      </c>
      <c r="H7" s="13">
        <v>45770.0</v>
      </c>
      <c r="I7" s="14" t="s">
        <v>14</v>
      </c>
      <c r="J7" s="15">
        <v>45798.0</v>
      </c>
      <c r="K7" s="7" t="s">
        <v>643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>
        <v>6.0</v>
      </c>
      <c r="B8" s="19" t="s">
        <v>617</v>
      </c>
      <c r="C8" s="20" t="s">
        <v>66</v>
      </c>
      <c r="D8" s="19" t="s">
        <v>641</v>
      </c>
      <c r="E8" s="7">
        <v>2.0</v>
      </c>
      <c r="F8" s="11">
        <v>2.0</v>
      </c>
      <c r="G8" s="12">
        <f t="shared" si="1"/>
        <v>0</v>
      </c>
      <c r="H8" s="13">
        <v>45770.0</v>
      </c>
      <c r="I8" s="14" t="s">
        <v>14</v>
      </c>
      <c r="J8" s="15">
        <v>45798.0</v>
      </c>
      <c r="K8" s="7" t="s">
        <v>643</v>
      </c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7">
        <v>7.0</v>
      </c>
      <c r="B9" s="8">
        <v>9.0812104E8</v>
      </c>
      <c r="C9" s="9" t="s">
        <v>618</v>
      </c>
      <c r="D9" s="19" t="s">
        <v>641</v>
      </c>
      <c r="E9" s="7">
        <v>2.0</v>
      </c>
      <c r="F9" s="11">
        <v>2.0</v>
      </c>
      <c r="G9" s="12">
        <f t="shared" si="1"/>
        <v>0</v>
      </c>
      <c r="H9" s="13">
        <v>45768.0</v>
      </c>
      <c r="I9" s="14" t="s">
        <v>14</v>
      </c>
      <c r="J9" s="15">
        <v>45798.0</v>
      </c>
      <c r="K9" s="7" t="s">
        <v>643</v>
      </c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>
        <v>8.0</v>
      </c>
      <c r="B10" s="8">
        <v>9.08202098E8</v>
      </c>
      <c r="C10" s="9" t="s">
        <v>22</v>
      </c>
      <c r="D10" s="19" t="s">
        <v>641</v>
      </c>
      <c r="E10" s="7">
        <v>2.0</v>
      </c>
      <c r="F10" s="11">
        <v>6.0</v>
      </c>
      <c r="G10" s="12">
        <f t="shared" si="1"/>
        <v>-4</v>
      </c>
      <c r="H10" s="13">
        <v>45768.0</v>
      </c>
      <c r="I10" s="14" t="s">
        <v>14</v>
      </c>
      <c r="J10" s="15">
        <v>45798.0</v>
      </c>
      <c r="K10" s="7" t="s">
        <v>643</v>
      </c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>
        <v>9.0</v>
      </c>
      <c r="B11" s="8">
        <v>9.08122011E8</v>
      </c>
      <c r="C11" s="9" t="s">
        <v>23</v>
      </c>
      <c r="D11" s="19" t="s">
        <v>641</v>
      </c>
      <c r="E11" s="7">
        <v>3.0</v>
      </c>
      <c r="F11" s="11">
        <v>3.0</v>
      </c>
      <c r="G11" s="12">
        <f t="shared" si="1"/>
        <v>0</v>
      </c>
      <c r="H11" s="13">
        <v>45768.0</v>
      </c>
      <c r="I11" s="14" t="s">
        <v>14</v>
      </c>
      <c r="J11" s="15">
        <v>45798.0</v>
      </c>
      <c r="K11" s="7" t="s">
        <v>643</v>
      </c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7">
        <v>10.0</v>
      </c>
      <c r="B12" s="8">
        <v>9.08121008E8</v>
      </c>
      <c r="C12" s="9" t="s">
        <v>593</v>
      </c>
      <c r="D12" s="19" t="s">
        <v>641</v>
      </c>
      <c r="E12" s="7">
        <v>2.0</v>
      </c>
      <c r="F12" s="11">
        <v>2.0</v>
      </c>
      <c r="G12" s="12">
        <f t="shared" si="1"/>
        <v>0</v>
      </c>
      <c r="H12" s="13">
        <v>45768.0</v>
      </c>
      <c r="I12" s="14" t="s">
        <v>14</v>
      </c>
      <c r="J12" s="15">
        <v>45798.0</v>
      </c>
      <c r="K12" s="7" t="s">
        <v>643</v>
      </c>
      <c r="L12" s="2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31.5" customHeight="1">
      <c r="A13" s="7">
        <v>11.0</v>
      </c>
      <c r="B13" s="8">
        <v>9.0812101E8</v>
      </c>
      <c r="C13" s="9" t="s">
        <v>450</v>
      </c>
      <c r="D13" s="19" t="s">
        <v>641</v>
      </c>
      <c r="E13" s="7">
        <v>2.0</v>
      </c>
      <c r="F13" s="11">
        <v>2.0</v>
      </c>
      <c r="G13" s="12">
        <f t="shared" si="1"/>
        <v>0</v>
      </c>
      <c r="H13" s="13">
        <v>45768.0</v>
      </c>
      <c r="I13" s="14" t="s">
        <v>14</v>
      </c>
      <c r="J13" s="15">
        <v>45798.0</v>
      </c>
      <c r="K13" s="7" t="s">
        <v>643</v>
      </c>
      <c r="L13" s="9"/>
    </row>
    <row r="14">
      <c r="A14" s="7">
        <v>12.0</v>
      </c>
      <c r="B14" s="8">
        <v>9.08020201E8</v>
      </c>
      <c r="C14" s="9" t="s">
        <v>13</v>
      </c>
      <c r="D14" s="19" t="s">
        <v>641</v>
      </c>
      <c r="E14" s="7">
        <v>2.0</v>
      </c>
      <c r="F14" s="11">
        <v>2.0</v>
      </c>
      <c r="G14" s="12">
        <f t="shared" si="1"/>
        <v>0</v>
      </c>
      <c r="H14" s="13">
        <v>45768.0</v>
      </c>
      <c r="I14" s="14" t="s">
        <v>14</v>
      </c>
      <c r="J14" s="15">
        <v>45798.0</v>
      </c>
      <c r="K14" s="7" t="s">
        <v>643</v>
      </c>
      <c r="L14" s="17"/>
    </row>
    <row r="15">
      <c r="A15" s="7">
        <v>13.0</v>
      </c>
      <c r="B15" s="8">
        <v>9.0820203E8</v>
      </c>
      <c r="C15" s="9" t="s">
        <v>19</v>
      </c>
      <c r="D15" s="19" t="s">
        <v>641</v>
      </c>
      <c r="E15" s="7">
        <v>2.0</v>
      </c>
      <c r="F15" s="11">
        <v>2.0</v>
      </c>
      <c r="G15" s="121">
        <f t="shared" si="1"/>
        <v>0</v>
      </c>
      <c r="H15" s="109">
        <v>45768.0</v>
      </c>
      <c r="I15" s="19" t="s">
        <v>14</v>
      </c>
      <c r="J15" s="15">
        <v>45798.0</v>
      </c>
      <c r="K15" s="7" t="s">
        <v>643</v>
      </c>
      <c r="L15" s="17"/>
    </row>
    <row r="16">
      <c r="A16" s="7">
        <v>14.0</v>
      </c>
      <c r="B16" s="8">
        <v>9.08113004E8</v>
      </c>
      <c r="C16" s="9" t="s">
        <v>203</v>
      </c>
      <c r="D16" s="19" t="s">
        <v>641</v>
      </c>
      <c r="E16" s="7">
        <v>8.0</v>
      </c>
      <c r="F16" s="11">
        <v>8.0</v>
      </c>
      <c r="G16" s="12">
        <f t="shared" si="1"/>
        <v>0</v>
      </c>
      <c r="H16" s="13">
        <v>45770.0</v>
      </c>
      <c r="I16" s="14" t="s">
        <v>14</v>
      </c>
      <c r="J16" s="15">
        <v>45798.0</v>
      </c>
      <c r="K16" s="7" t="s">
        <v>643</v>
      </c>
      <c r="L16" s="17"/>
    </row>
    <row r="17">
      <c r="A17" s="7">
        <v>15.0</v>
      </c>
      <c r="B17" s="8">
        <v>9.08114004E8</v>
      </c>
      <c r="C17" s="9" t="s">
        <v>621</v>
      </c>
      <c r="D17" s="19" t="s">
        <v>641</v>
      </c>
      <c r="E17" s="7">
        <f>79+81</f>
        <v>160</v>
      </c>
      <c r="F17" s="11">
        <v>160.0</v>
      </c>
      <c r="G17" s="12">
        <f t="shared" si="1"/>
        <v>0</v>
      </c>
      <c r="H17" s="13" t="s">
        <v>644</v>
      </c>
      <c r="I17" s="14" t="s">
        <v>14</v>
      </c>
      <c r="J17" s="15">
        <v>45798.0</v>
      </c>
      <c r="K17" s="7" t="s">
        <v>643</v>
      </c>
      <c r="L17" s="17"/>
    </row>
    <row r="18">
      <c r="A18" s="7">
        <v>16.0</v>
      </c>
      <c r="B18" s="8" t="s">
        <v>27</v>
      </c>
      <c r="C18" s="9" t="s">
        <v>28</v>
      </c>
      <c r="D18" s="19" t="s">
        <v>641</v>
      </c>
      <c r="E18" s="7">
        <v>29.0</v>
      </c>
      <c r="F18" s="11">
        <v>29.0</v>
      </c>
      <c r="G18" s="12">
        <f t="shared" si="1"/>
        <v>0</v>
      </c>
      <c r="H18" s="13">
        <v>45770.0</v>
      </c>
      <c r="I18" s="14" t="s">
        <v>14</v>
      </c>
      <c r="J18" s="15">
        <v>45798.0</v>
      </c>
      <c r="K18" s="7" t="s">
        <v>643</v>
      </c>
      <c r="L18" s="17"/>
    </row>
    <row r="19">
      <c r="A19" s="7">
        <v>17.0</v>
      </c>
      <c r="B19" s="8" t="s">
        <v>25</v>
      </c>
      <c r="C19" s="9" t="s">
        <v>26</v>
      </c>
      <c r="D19" s="19" t="s">
        <v>641</v>
      </c>
      <c r="E19" s="7">
        <v>41.0</v>
      </c>
      <c r="F19" s="11">
        <v>41.0</v>
      </c>
      <c r="G19" s="121">
        <f t="shared" si="1"/>
        <v>0</v>
      </c>
      <c r="H19" s="109">
        <v>45770.0</v>
      </c>
      <c r="I19" s="19" t="s">
        <v>14</v>
      </c>
      <c r="J19" s="15">
        <v>45798.0</v>
      </c>
      <c r="K19" s="7" t="s">
        <v>643</v>
      </c>
      <c r="L19" s="17"/>
    </row>
    <row r="20">
      <c r="A20" s="7">
        <v>18.0</v>
      </c>
      <c r="B20" s="8">
        <v>9.08111101E8</v>
      </c>
      <c r="C20" s="9" t="s">
        <v>24</v>
      </c>
      <c r="D20" s="19" t="s">
        <v>641</v>
      </c>
      <c r="E20" s="7">
        <v>6.0</v>
      </c>
      <c r="F20" s="11">
        <v>6.0</v>
      </c>
      <c r="G20" s="121">
        <f t="shared" si="1"/>
        <v>0</v>
      </c>
      <c r="H20" s="109">
        <v>45770.0</v>
      </c>
      <c r="I20" s="19" t="s">
        <v>14</v>
      </c>
      <c r="J20" s="15">
        <v>45798.0</v>
      </c>
      <c r="K20" s="7" t="s">
        <v>643</v>
      </c>
      <c r="L20" s="17"/>
    </row>
    <row r="21" ht="15.75" customHeight="1">
      <c r="A21" s="7">
        <v>19.0</v>
      </c>
      <c r="B21" s="8">
        <v>9.08321012E8</v>
      </c>
      <c r="C21" s="29" t="s">
        <v>380</v>
      </c>
      <c r="D21" s="19" t="s">
        <v>641</v>
      </c>
      <c r="E21" s="7">
        <v>1.0</v>
      </c>
      <c r="F21" s="11">
        <v>1.0</v>
      </c>
      <c r="G21" s="121">
        <f t="shared" si="1"/>
        <v>0</v>
      </c>
      <c r="H21" s="109">
        <v>45790.0</v>
      </c>
      <c r="I21" s="19" t="s">
        <v>14</v>
      </c>
      <c r="J21" s="15">
        <v>45798.0</v>
      </c>
      <c r="K21" s="7" t="s">
        <v>643</v>
      </c>
      <c r="L21" s="17"/>
    </row>
    <row r="22" ht="15.75" customHeight="1">
      <c r="A22" s="7">
        <v>20.0</v>
      </c>
      <c r="B22" s="8" t="s">
        <v>622</v>
      </c>
      <c r="C22" s="20" t="s">
        <v>420</v>
      </c>
      <c r="D22" s="19"/>
      <c r="E22" s="7"/>
      <c r="F22" s="11">
        <v>25.0</v>
      </c>
      <c r="G22" s="121">
        <v>-25.0</v>
      </c>
      <c r="H22" s="7"/>
      <c r="I22" s="19"/>
      <c r="J22" s="15">
        <v>45798.0</v>
      </c>
      <c r="K22" s="7" t="s">
        <v>643</v>
      </c>
      <c r="L22" s="7"/>
    </row>
    <row r="23" ht="15.75" customHeight="1">
      <c r="A23" s="7">
        <v>21.0</v>
      </c>
      <c r="B23" s="8">
        <v>9.08122034E8</v>
      </c>
      <c r="C23" s="20" t="s">
        <v>645</v>
      </c>
      <c r="D23" s="19" t="s">
        <v>641</v>
      </c>
      <c r="E23" s="7">
        <v>8.0</v>
      </c>
      <c r="F23" s="11">
        <v>7.0</v>
      </c>
      <c r="G23" s="7">
        <f t="shared" ref="G23:G37" si="2">E23-F23</f>
        <v>1</v>
      </c>
      <c r="H23" s="15">
        <v>45901.0</v>
      </c>
      <c r="I23" s="19" t="s">
        <v>14</v>
      </c>
      <c r="J23" s="15">
        <v>45798.0</v>
      </c>
      <c r="K23" s="7" t="s">
        <v>643</v>
      </c>
      <c r="L23" s="7"/>
    </row>
    <row r="24" ht="15.75" customHeight="1">
      <c r="A24" s="7">
        <v>22.0</v>
      </c>
      <c r="B24" s="8">
        <v>9.08202189E8</v>
      </c>
      <c r="C24" s="20" t="s">
        <v>22</v>
      </c>
      <c r="D24" s="19">
        <v>2.7485547E7</v>
      </c>
      <c r="E24" s="7">
        <f>3+8</f>
        <v>11</v>
      </c>
      <c r="F24" s="11">
        <v>7.0</v>
      </c>
      <c r="G24" s="7">
        <f t="shared" si="2"/>
        <v>4</v>
      </c>
      <c r="H24" s="30" t="s">
        <v>646</v>
      </c>
      <c r="I24" s="19" t="s">
        <v>14</v>
      </c>
      <c r="J24" s="15">
        <v>45798.0</v>
      </c>
      <c r="K24" s="7" t="s">
        <v>643</v>
      </c>
      <c r="L24" s="7"/>
    </row>
    <row r="25" ht="15.75" customHeight="1">
      <c r="A25" s="7">
        <v>23.0</v>
      </c>
      <c r="B25" s="8" t="s">
        <v>20</v>
      </c>
      <c r="C25" s="20" t="s">
        <v>21</v>
      </c>
      <c r="D25" s="19"/>
      <c r="E25" s="7">
        <v>4.0</v>
      </c>
      <c r="F25" s="11">
        <v>4.0</v>
      </c>
      <c r="G25" s="7">
        <f t="shared" si="2"/>
        <v>0</v>
      </c>
      <c r="H25" s="15">
        <v>45901.0</v>
      </c>
      <c r="I25" s="19" t="s">
        <v>14</v>
      </c>
      <c r="J25" s="15">
        <v>45798.0</v>
      </c>
      <c r="K25" s="7" t="s">
        <v>643</v>
      </c>
      <c r="L25" s="7"/>
    </row>
    <row r="26" ht="15.75" customHeight="1">
      <c r="A26" s="7">
        <v>24.0</v>
      </c>
      <c r="B26" s="8">
        <v>9.08421025E8</v>
      </c>
      <c r="C26" s="20" t="s">
        <v>112</v>
      </c>
      <c r="D26" s="19">
        <v>2.7485547E7</v>
      </c>
      <c r="E26" s="7">
        <v>2.0</v>
      </c>
      <c r="F26" s="11">
        <v>2.0</v>
      </c>
      <c r="G26" s="7">
        <f t="shared" si="2"/>
        <v>0</v>
      </c>
      <c r="H26" s="15">
        <v>45869.0</v>
      </c>
      <c r="I26" s="19" t="s">
        <v>14</v>
      </c>
      <c r="J26" s="15">
        <v>45869.0</v>
      </c>
      <c r="K26" s="7" t="s">
        <v>408</v>
      </c>
      <c r="L26" s="7"/>
    </row>
    <row r="27" ht="15.75" customHeight="1">
      <c r="A27" s="7">
        <v>25.0</v>
      </c>
      <c r="B27" s="8">
        <v>9.08421029E8</v>
      </c>
      <c r="C27" s="20" t="s">
        <v>630</v>
      </c>
      <c r="D27" s="19">
        <v>2.7485547E7</v>
      </c>
      <c r="E27" s="7">
        <v>2.0</v>
      </c>
      <c r="F27" s="11">
        <v>1.0</v>
      </c>
      <c r="G27" s="7">
        <f t="shared" si="2"/>
        <v>1</v>
      </c>
      <c r="H27" s="15">
        <v>45869.0</v>
      </c>
      <c r="I27" s="19" t="s">
        <v>14</v>
      </c>
      <c r="J27" s="15">
        <v>45869.0</v>
      </c>
      <c r="K27" s="7" t="s">
        <v>408</v>
      </c>
      <c r="L27" s="7"/>
    </row>
    <row r="28" ht="15.75" customHeight="1">
      <c r="A28" s="7">
        <v>26.0</v>
      </c>
      <c r="B28" s="8">
        <v>9.08402208E8</v>
      </c>
      <c r="C28" s="20" t="s">
        <v>111</v>
      </c>
      <c r="D28" s="19">
        <v>2.7485547E7</v>
      </c>
      <c r="E28" s="7">
        <v>4.0</v>
      </c>
      <c r="F28" s="11">
        <v>4.0</v>
      </c>
      <c r="G28" s="7">
        <f t="shared" si="2"/>
        <v>0</v>
      </c>
      <c r="H28" s="15">
        <v>45869.0</v>
      </c>
      <c r="I28" s="19" t="s">
        <v>14</v>
      </c>
      <c r="J28" s="15">
        <v>45869.0</v>
      </c>
      <c r="K28" s="7" t="s">
        <v>408</v>
      </c>
      <c r="L28" s="7"/>
    </row>
    <row r="29" ht="15.75" customHeight="1">
      <c r="A29" s="7">
        <v>27.0</v>
      </c>
      <c r="B29" s="8">
        <v>9.08371012E8</v>
      </c>
      <c r="C29" s="20" t="s">
        <v>150</v>
      </c>
      <c r="D29" s="19">
        <v>2.7485547E7</v>
      </c>
      <c r="E29" s="7">
        <v>3.0</v>
      </c>
      <c r="F29" s="11">
        <v>3.0</v>
      </c>
      <c r="G29" s="7">
        <f t="shared" si="2"/>
        <v>0</v>
      </c>
      <c r="H29" s="15">
        <v>45869.0</v>
      </c>
      <c r="I29" s="19" t="s">
        <v>14</v>
      </c>
      <c r="J29" s="15">
        <v>45869.0</v>
      </c>
      <c r="K29" s="7" t="s">
        <v>408</v>
      </c>
      <c r="L29" s="7"/>
    </row>
    <row r="30" ht="15.75" customHeight="1">
      <c r="A30" s="7">
        <v>28.0</v>
      </c>
      <c r="B30" s="8">
        <v>9.08371003E8</v>
      </c>
      <c r="C30" s="20" t="s">
        <v>81</v>
      </c>
      <c r="D30" s="19">
        <v>2.7485547E7</v>
      </c>
      <c r="E30" s="7">
        <v>1.0</v>
      </c>
      <c r="F30" s="11">
        <v>1.0</v>
      </c>
      <c r="G30" s="7">
        <f t="shared" si="2"/>
        <v>0</v>
      </c>
      <c r="H30" s="15">
        <v>45869.0</v>
      </c>
      <c r="I30" s="19" t="s">
        <v>14</v>
      </c>
      <c r="J30" s="15">
        <v>45869.0</v>
      </c>
      <c r="K30" s="7" t="s">
        <v>408</v>
      </c>
      <c r="L30" s="7"/>
    </row>
    <row r="31" ht="15.75" customHeight="1">
      <c r="A31" s="7">
        <v>29.0</v>
      </c>
      <c r="B31" s="8">
        <v>9.08111101E8</v>
      </c>
      <c r="C31" s="20" t="s">
        <v>24</v>
      </c>
      <c r="D31" s="19">
        <v>2.7485547E7</v>
      </c>
      <c r="E31" s="7">
        <v>10.0</v>
      </c>
      <c r="F31" s="11">
        <v>10.0</v>
      </c>
      <c r="G31" s="7">
        <f t="shared" si="2"/>
        <v>0</v>
      </c>
      <c r="H31" s="15">
        <v>45873.0</v>
      </c>
      <c r="I31" s="19" t="s">
        <v>14</v>
      </c>
      <c r="J31" s="15">
        <v>45869.0</v>
      </c>
      <c r="K31" s="7" t="s">
        <v>408</v>
      </c>
      <c r="L31" s="7"/>
    </row>
    <row r="32" ht="15.75" customHeight="1">
      <c r="A32" s="7">
        <v>30.0</v>
      </c>
      <c r="B32" s="8">
        <v>9.0812201E8</v>
      </c>
      <c r="C32" s="20" t="s">
        <v>80</v>
      </c>
      <c r="D32" s="19">
        <v>2.7485547E7</v>
      </c>
      <c r="E32" s="7">
        <v>16.0</v>
      </c>
      <c r="F32" s="11">
        <v>16.0</v>
      </c>
      <c r="G32" s="7">
        <f t="shared" si="2"/>
        <v>0</v>
      </c>
      <c r="H32" s="15">
        <v>45869.0</v>
      </c>
      <c r="I32" s="19" t="s">
        <v>14</v>
      </c>
      <c r="J32" s="15">
        <v>45939.0</v>
      </c>
      <c r="K32" s="7" t="s">
        <v>30</v>
      </c>
      <c r="L32" s="93" t="s">
        <v>647</v>
      </c>
    </row>
    <row r="33" ht="15.75" customHeight="1">
      <c r="A33" s="7">
        <v>31.0</v>
      </c>
      <c r="B33" s="8">
        <v>9.08122003E8</v>
      </c>
      <c r="C33" s="20" t="s">
        <v>368</v>
      </c>
      <c r="D33" s="19">
        <v>2.7485547E7</v>
      </c>
      <c r="E33" s="7">
        <v>8.0</v>
      </c>
      <c r="F33" s="11">
        <v>8.0</v>
      </c>
      <c r="G33" s="7">
        <f t="shared" si="2"/>
        <v>0</v>
      </c>
      <c r="H33" s="15">
        <v>45869.0</v>
      </c>
      <c r="I33" s="19" t="s">
        <v>14</v>
      </c>
      <c r="J33" s="15">
        <v>45939.0</v>
      </c>
      <c r="K33" s="7" t="s">
        <v>30</v>
      </c>
      <c r="L33" s="93" t="s">
        <v>647</v>
      </c>
    </row>
    <row r="34" ht="15.75" customHeight="1">
      <c r="A34" s="7">
        <v>32.0</v>
      </c>
      <c r="B34" s="8">
        <v>9.08202189E8</v>
      </c>
      <c r="C34" s="20" t="s">
        <v>55</v>
      </c>
      <c r="D34" s="19">
        <v>2.7485547E7</v>
      </c>
      <c r="E34" s="7">
        <v>3.0</v>
      </c>
      <c r="F34" s="11">
        <v>3.0</v>
      </c>
      <c r="G34" s="7">
        <f t="shared" si="2"/>
        <v>0</v>
      </c>
      <c r="H34" s="15">
        <v>45869.0</v>
      </c>
      <c r="I34" s="19" t="s">
        <v>14</v>
      </c>
      <c r="J34" s="15">
        <v>45869.0</v>
      </c>
      <c r="K34" s="7" t="s">
        <v>408</v>
      </c>
      <c r="L34" s="7"/>
    </row>
    <row r="35" ht="15.75" customHeight="1">
      <c r="A35" s="7">
        <v>33.0</v>
      </c>
      <c r="B35" s="19" t="s">
        <v>20</v>
      </c>
      <c r="C35" s="20" t="s">
        <v>21</v>
      </c>
      <c r="D35" s="19">
        <v>2.7485547E7</v>
      </c>
      <c r="E35" s="7">
        <v>2.0</v>
      </c>
      <c r="F35" s="11">
        <v>2.0</v>
      </c>
      <c r="G35" s="7">
        <f t="shared" si="2"/>
        <v>0</v>
      </c>
      <c r="H35" s="15">
        <v>45869.0</v>
      </c>
      <c r="I35" s="19" t="s">
        <v>14</v>
      </c>
      <c r="J35" s="15">
        <v>45869.0</v>
      </c>
      <c r="K35" s="7" t="s">
        <v>408</v>
      </c>
      <c r="L35" s="7"/>
    </row>
    <row r="36" ht="15.75" customHeight="1">
      <c r="A36" s="7">
        <v>34.0</v>
      </c>
      <c r="B36" s="19">
        <v>9.0820203E8</v>
      </c>
      <c r="C36" s="20" t="s">
        <v>19</v>
      </c>
      <c r="D36" s="19">
        <v>2.7485547E7</v>
      </c>
      <c r="E36" s="7">
        <v>19.0</v>
      </c>
      <c r="F36" s="11">
        <v>19.0</v>
      </c>
      <c r="G36" s="7">
        <f t="shared" si="2"/>
        <v>0</v>
      </c>
      <c r="H36" s="15">
        <v>45869.0</v>
      </c>
      <c r="I36" s="19" t="s">
        <v>14</v>
      </c>
      <c r="J36" s="15">
        <v>45939.0</v>
      </c>
      <c r="K36" s="7" t="s">
        <v>30</v>
      </c>
      <c r="L36" s="93" t="s">
        <v>647</v>
      </c>
    </row>
    <row r="37" ht="15.75" customHeight="1">
      <c r="A37" s="136">
        <v>35.0</v>
      </c>
      <c r="B37" s="137">
        <v>9.08020201E8</v>
      </c>
      <c r="C37" s="138" t="s">
        <v>13</v>
      </c>
      <c r="D37" s="139">
        <v>2.7485547E7</v>
      </c>
      <c r="E37" s="136">
        <v>3.0</v>
      </c>
      <c r="F37" s="140">
        <v>0.0</v>
      </c>
      <c r="G37" s="136">
        <f t="shared" si="2"/>
        <v>3</v>
      </c>
      <c r="H37" s="141">
        <v>45869.0</v>
      </c>
      <c r="I37" s="139" t="s">
        <v>14</v>
      </c>
      <c r="J37" s="141">
        <v>45869.0</v>
      </c>
      <c r="K37" s="136" t="s">
        <v>408</v>
      </c>
      <c r="L37" s="17"/>
    </row>
    <row r="38" ht="72.75" customHeight="1">
      <c r="A38" s="7"/>
      <c r="B38" s="19"/>
      <c r="C38" s="20"/>
      <c r="D38" s="19"/>
      <c r="E38" s="7"/>
      <c r="F38" s="16"/>
      <c r="G38" s="7"/>
      <c r="H38" s="15"/>
      <c r="I38" s="19"/>
      <c r="J38" s="15"/>
      <c r="K38" s="7"/>
      <c r="L38" s="53"/>
    </row>
    <row r="39" ht="53.25" customHeight="1">
      <c r="B39" s="102">
        <v>9.08114004E8</v>
      </c>
      <c r="C39" s="103" t="s">
        <v>648</v>
      </c>
      <c r="D39" s="142">
        <f>0.58+0.58+0.85+0.3+0.3+0.3+1.6+1.6+1.6+1.6+1.6+1.6+1.55+1.55+1.55+1.74+1.74+1.74+1.8+1.8+1.8</f>
        <v>27.78</v>
      </c>
      <c r="E39" s="143">
        <v>45819.0</v>
      </c>
      <c r="F39" s="144" t="s">
        <v>649</v>
      </c>
      <c r="G39" s="145"/>
      <c r="H39" s="14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F39:G39"/>
  </mergeCells>
  <printOptions/>
  <pageMargins bottom="0.75" footer="0.0" header="0.0" left="0.7" right="0.7" top="0.75"/>
  <pageSetup scale="27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3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2.6908265E7</v>
      </c>
      <c r="E3" s="7">
        <v>5.0</v>
      </c>
      <c r="F3" s="11"/>
      <c r="G3" s="12">
        <f t="shared" ref="G3:G22" si="1">E3-F3</f>
        <v>5</v>
      </c>
      <c r="H3" s="13">
        <v>45763.0</v>
      </c>
      <c r="I3" s="14" t="s">
        <v>14</v>
      </c>
      <c r="J3" s="15"/>
      <c r="K3" s="7"/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27</v>
      </c>
      <c r="C4" s="9" t="s">
        <v>28</v>
      </c>
      <c r="D4" s="10">
        <v>2.6908265E7</v>
      </c>
      <c r="E4" s="7">
        <v>8.0</v>
      </c>
      <c r="F4" s="11"/>
      <c r="G4" s="12">
        <f t="shared" si="1"/>
        <v>8</v>
      </c>
      <c r="H4" s="13">
        <v>45763.0</v>
      </c>
      <c r="I4" s="14" t="s">
        <v>14</v>
      </c>
      <c r="J4" s="15"/>
      <c r="K4" s="7"/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2.6908265E7</v>
      </c>
      <c r="E5" s="7">
        <v>1.0</v>
      </c>
      <c r="F5" s="11"/>
      <c r="G5" s="12">
        <f t="shared" si="1"/>
        <v>1</v>
      </c>
      <c r="H5" s="13">
        <v>45754.0</v>
      </c>
      <c r="I5" s="14" t="s">
        <v>14</v>
      </c>
      <c r="J5" s="15"/>
      <c r="K5" s="7"/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9.08421025E8</v>
      </c>
      <c r="C6" s="20" t="s">
        <v>112</v>
      </c>
      <c r="D6" s="10">
        <v>2.7695935E7</v>
      </c>
      <c r="E6" s="7">
        <v>1.0</v>
      </c>
      <c r="F6" s="11">
        <v>1.0</v>
      </c>
      <c r="G6" s="12">
        <f t="shared" si="1"/>
        <v>0</v>
      </c>
      <c r="H6" s="13">
        <v>45911.0</v>
      </c>
      <c r="I6" s="14" t="s">
        <v>14</v>
      </c>
      <c r="J6" s="15">
        <v>45909.0</v>
      </c>
      <c r="K6" s="7" t="s">
        <v>283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>
        <v>9.08402208E8</v>
      </c>
      <c r="C7" s="20" t="s">
        <v>111</v>
      </c>
      <c r="D7" s="10">
        <v>2.7695935E7</v>
      </c>
      <c r="E7" s="7">
        <v>5.0</v>
      </c>
      <c r="F7" s="11">
        <v>5.0</v>
      </c>
      <c r="G7" s="12">
        <f t="shared" si="1"/>
        <v>0</v>
      </c>
      <c r="H7" s="13"/>
      <c r="I7" s="14"/>
      <c r="J7" s="15">
        <v>45909.0</v>
      </c>
      <c r="K7" s="7" t="s">
        <v>283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>
        <v>6.0</v>
      </c>
      <c r="B8" s="8">
        <v>9.08371012E8</v>
      </c>
      <c r="C8" s="20" t="s">
        <v>150</v>
      </c>
      <c r="D8" s="10">
        <v>2.7695935E7</v>
      </c>
      <c r="E8" s="7">
        <v>5.0</v>
      </c>
      <c r="F8" s="11">
        <v>5.0</v>
      </c>
      <c r="G8" s="12">
        <f t="shared" si="1"/>
        <v>0</v>
      </c>
      <c r="H8" s="13">
        <v>45911.0</v>
      </c>
      <c r="I8" s="14" t="s">
        <v>14</v>
      </c>
      <c r="J8" s="15">
        <v>45909.0</v>
      </c>
      <c r="K8" s="7" t="s">
        <v>283</v>
      </c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7">
        <v>7.0</v>
      </c>
      <c r="B9" s="146" t="s">
        <v>651</v>
      </c>
      <c r="C9" s="9" t="s">
        <v>652</v>
      </c>
      <c r="D9" s="10">
        <v>2.7695935E7</v>
      </c>
      <c r="E9" s="7">
        <f>1+2</f>
        <v>3</v>
      </c>
      <c r="F9" s="11">
        <v>1.0</v>
      </c>
      <c r="G9" s="12">
        <f t="shared" si="1"/>
        <v>2</v>
      </c>
      <c r="H9" s="13" t="s">
        <v>653</v>
      </c>
      <c r="I9" s="14" t="s">
        <v>283</v>
      </c>
      <c r="J9" s="15">
        <v>45909.0</v>
      </c>
      <c r="K9" s="7" t="s">
        <v>283</v>
      </c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>
        <v>8.0</v>
      </c>
      <c r="B10" s="8">
        <v>9.08111101E8</v>
      </c>
      <c r="C10" s="20" t="s">
        <v>24</v>
      </c>
      <c r="D10" s="10"/>
      <c r="E10" s="7"/>
      <c r="F10" s="11">
        <v>6.0</v>
      </c>
      <c r="G10" s="12">
        <f t="shared" si="1"/>
        <v>-6</v>
      </c>
      <c r="H10" s="13"/>
      <c r="I10" s="14"/>
      <c r="J10" s="15">
        <v>45909.0</v>
      </c>
      <c r="K10" s="7" t="s">
        <v>283</v>
      </c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>
        <v>9.0</v>
      </c>
      <c r="B11" s="8">
        <v>9.0812201E8</v>
      </c>
      <c r="C11" s="20" t="s">
        <v>80</v>
      </c>
      <c r="D11" s="10">
        <v>2.7695935E7</v>
      </c>
      <c r="E11" s="7">
        <v>8.0</v>
      </c>
      <c r="F11" s="11">
        <v>16.0</v>
      </c>
      <c r="G11" s="12">
        <f t="shared" si="1"/>
        <v>-8</v>
      </c>
      <c r="H11" s="13">
        <v>45907.0</v>
      </c>
      <c r="I11" s="14" t="s">
        <v>14</v>
      </c>
      <c r="J11" s="15">
        <v>45909.0</v>
      </c>
      <c r="K11" s="7" t="s">
        <v>283</v>
      </c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7">
        <v>10.0</v>
      </c>
      <c r="B12" s="8">
        <v>9.08122003E8</v>
      </c>
      <c r="C12" s="20" t="s">
        <v>368</v>
      </c>
      <c r="D12" s="10"/>
      <c r="E12" s="7">
        <v>16.0</v>
      </c>
      <c r="F12" s="11">
        <v>16.0</v>
      </c>
      <c r="G12" s="12">
        <f t="shared" si="1"/>
        <v>0</v>
      </c>
      <c r="H12" s="13">
        <v>45911.0</v>
      </c>
      <c r="I12" s="14" t="s">
        <v>14</v>
      </c>
      <c r="J12" s="15">
        <v>45909.0</v>
      </c>
      <c r="K12" s="7" t="s">
        <v>283</v>
      </c>
      <c r="L12" s="2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">
        <v>11.0</v>
      </c>
      <c r="B13" s="8">
        <v>9.08202189E8</v>
      </c>
      <c r="C13" s="20" t="s">
        <v>55</v>
      </c>
      <c r="D13" s="10">
        <v>2.7695935E7</v>
      </c>
      <c r="E13" s="7">
        <v>2.0</v>
      </c>
      <c r="F13" s="11">
        <v>3.0</v>
      </c>
      <c r="G13" s="12">
        <f t="shared" si="1"/>
        <v>-1</v>
      </c>
      <c r="H13" s="13">
        <v>45907.0</v>
      </c>
      <c r="I13" s="14" t="s">
        <v>14</v>
      </c>
      <c r="J13" s="15">
        <v>45909.0</v>
      </c>
      <c r="K13" s="7" t="s">
        <v>283</v>
      </c>
      <c r="L13" s="20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1.5" customHeight="1">
      <c r="A14" s="7">
        <v>12.0</v>
      </c>
      <c r="B14" s="19" t="s">
        <v>20</v>
      </c>
      <c r="C14" s="19" t="s">
        <v>21</v>
      </c>
      <c r="D14" s="10">
        <v>2.7695935E7</v>
      </c>
      <c r="E14" s="7">
        <v>2.0</v>
      </c>
      <c r="F14" s="11">
        <v>2.0</v>
      </c>
      <c r="G14" s="12">
        <f t="shared" si="1"/>
        <v>0</v>
      </c>
      <c r="H14" s="13">
        <v>45911.0</v>
      </c>
      <c r="I14" s="14" t="s">
        <v>14</v>
      </c>
      <c r="J14" s="15">
        <v>45909.0</v>
      </c>
      <c r="K14" s="7" t="s">
        <v>283</v>
      </c>
      <c r="L14" s="9"/>
    </row>
    <row r="15">
      <c r="A15" s="7">
        <v>13.0</v>
      </c>
      <c r="B15" s="19">
        <v>9.0820203E8</v>
      </c>
      <c r="C15" s="19" t="s">
        <v>19</v>
      </c>
      <c r="D15" s="10">
        <v>2.7695935E7</v>
      </c>
      <c r="E15" s="7">
        <v>25.0</v>
      </c>
      <c r="F15" s="11">
        <v>2.0</v>
      </c>
      <c r="G15" s="12">
        <f t="shared" si="1"/>
        <v>23</v>
      </c>
      <c r="H15" s="13">
        <v>45911.0</v>
      </c>
      <c r="I15" s="14" t="s">
        <v>14</v>
      </c>
      <c r="J15" s="15">
        <v>45909.0</v>
      </c>
      <c r="K15" s="7" t="s">
        <v>283</v>
      </c>
      <c r="L15" s="9"/>
    </row>
    <row r="16">
      <c r="A16" s="7">
        <v>14.0</v>
      </c>
      <c r="B16" s="19" t="s">
        <v>25</v>
      </c>
      <c r="C16" s="19" t="s">
        <v>26</v>
      </c>
      <c r="D16" s="10"/>
      <c r="E16" s="7"/>
      <c r="F16" s="11">
        <v>5.0</v>
      </c>
      <c r="G16" s="12">
        <f t="shared" si="1"/>
        <v>-5</v>
      </c>
      <c r="H16" s="13"/>
      <c r="I16" s="14"/>
      <c r="J16" s="15">
        <v>45909.0</v>
      </c>
      <c r="K16" s="7" t="s">
        <v>283</v>
      </c>
      <c r="L16" s="9"/>
    </row>
    <row r="17">
      <c r="A17" s="7">
        <v>15.0</v>
      </c>
      <c r="B17" s="8">
        <v>9.08121009E8</v>
      </c>
      <c r="C17" s="9" t="s">
        <v>390</v>
      </c>
      <c r="D17" s="10"/>
      <c r="E17" s="7"/>
      <c r="F17" s="11">
        <v>1.0</v>
      </c>
      <c r="G17" s="12">
        <f t="shared" si="1"/>
        <v>-1</v>
      </c>
      <c r="H17" s="13"/>
      <c r="I17" s="14"/>
      <c r="J17" s="15">
        <v>45909.0</v>
      </c>
      <c r="K17" s="7" t="s">
        <v>283</v>
      </c>
      <c r="L17" s="9"/>
    </row>
    <row r="18">
      <c r="A18" s="7">
        <v>16.0</v>
      </c>
      <c r="B18" s="19">
        <v>9.08111006E8</v>
      </c>
      <c r="C18" s="19" t="s">
        <v>654</v>
      </c>
      <c r="D18" s="10"/>
      <c r="E18" s="7"/>
      <c r="F18" s="11">
        <v>8.0</v>
      </c>
      <c r="G18" s="12">
        <f t="shared" si="1"/>
        <v>-8</v>
      </c>
      <c r="H18" s="13"/>
      <c r="I18" s="14"/>
      <c r="J18" s="15">
        <v>45909.0</v>
      </c>
      <c r="K18" s="7" t="s">
        <v>283</v>
      </c>
      <c r="L18" s="9"/>
    </row>
    <row r="19">
      <c r="A19" s="7">
        <v>17.0</v>
      </c>
      <c r="B19" s="19">
        <v>9.08020201E8</v>
      </c>
      <c r="C19" s="19" t="s">
        <v>13</v>
      </c>
      <c r="D19" s="10">
        <v>2.7695935E7</v>
      </c>
      <c r="E19" s="7">
        <v>1.0</v>
      </c>
      <c r="F19" s="11">
        <v>1.0</v>
      </c>
      <c r="G19" s="12">
        <f t="shared" si="1"/>
        <v>0</v>
      </c>
      <c r="H19" s="13">
        <v>45907.0</v>
      </c>
      <c r="I19" s="14" t="s">
        <v>14</v>
      </c>
      <c r="J19" s="15"/>
      <c r="K19" s="7"/>
      <c r="L19" s="9"/>
    </row>
    <row r="20">
      <c r="A20" s="7">
        <v>18.0</v>
      </c>
      <c r="B20" s="19">
        <v>9.08122008E8</v>
      </c>
      <c r="C20" s="19" t="s">
        <v>79</v>
      </c>
      <c r="D20" s="10">
        <v>2.7695935E7</v>
      </c>
      <c r="E20" s="7">
        <v>4.0</v>
      </c>
      <c r="F20" s="11"/>
      <c r="G20" s="12">
        <f t="shared" si="1"/>
        <v>4</v>
      </c>
      <c r="H20" s="13">
        <v>45911.0</v>
      </c>
      <c r="I20" s="14" t="s">
        <v>14</v>
      </c>
      <c r="J20" s="15"/>
      <c r="K20" s="7"/>
      <c r="L20" s="9"/>
    </row>
    <row r="21" ht="15.75" customHeight="1">
      <c r="A21" s="7">
        <v>19.0</v>
      </c>
      <c r="B21" s="19"/>
      <c r="C21" s="19"/>
      <c r="D21" s="10"/>
      <c r="E21" s="7"/>
      <c r="F21" s="11"/>
      <c r="G21" s="12">
        <f t="shared" si="1"/>
        <v>0</v>
      </c>
      <c r="H21" s="13"/>
      <c r="I21" s="14"/>
      <c r="J21" s="15"/>
      <c r="K21" s="7"/>
      <c r="L21" s="9"/>
    </row>
    <row r="22" ht="15.75" customHeight="1">
      <c r="A22" s="7">
        <v>20.0</v>
      </c>
      <c r="B22" s="19"/>
      <c r="C22" s="19"/>
      <c r="D22" s="10"/>
      <c r="E22" s="7"/>
      <c r="F22" s="11"/>
      <c r="G22" s="12">
        <f t="shared" si="1"/>
        <v>0</v>
      </c>
      <c r="H22" s="13"/>
      <c r="I22" s="14"/>
      <c r="J22" s="15"/>
      <c r="K22" s="7"/>
      <c r="L22" s="9"/>
    </row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7.0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 ht="61.5" customHeight="1">
      <c r="A1" s="130" t="s">
        <v>655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5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 t="s">
        <v>25</v>
      </c>
      <c r="C3" s="9" t="s">
        <v>26</v>
      </c>
      <c r="D3" s="10">
        <v>2.6961946E7</v>
      </c>
      <c r="E3" s="7">
        <v>5.0</v>
      </c>
      <c r="F3" s="11">
        <v>5.0</v>
      </c>
      <c r="G3" s="12">
        <f t="shared" ref="G3:G21" si="1">E3-F3</f>
        <v>0</v>
      </c>
      <c r="H3" s="13">
        <v>45763.0</v>
      </c>
      <c r="I3" s="14" t="s">
        <v>14</v>
      </c>
      <c r="J3" s="15">
        <v>45785.0</v>
      </c>
      <c r="K3" s="7" t="s">
        <v>656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 t="s">
        <v>27</v>
      </c>
      <c r="C4" s="9" t="s">
        <v>28</v>
      </c>
      <c r="D4" s="10">
        <v>2.6961946E7</v>
      </c>
      <c r="E4" s="7">
        <v>18.0</v>
      </c>
      <c r="F4" s="11">
        <v>13.0</v>
      </c>
      <c r="G4" s="12">
        <f t="shared" si="1"/>
        <v>5</v>
      </c>
      <c r="H4" s="13">
        <v>45763.0</v>
      </c>
      <c r="I4" s="14" t="s">
        <v>14</v>
      </c>
      <c r="J4" s="15">
        <v>45785.0</v>
      </c>
      <c r="K4" s="7" t="s">
        <v>656</v>
      </c>
      <c r="L4" s="9" t="s">
        <v>657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9.08111101E8</v>
      </c>
      <c r="C5" s="9" t="s">
        <v>24</v>
      </c>
      <c r="D5" s="10">
        <v>2.6961946E7</v>
      </c>
      <c r="E5" s="7">
        <v>6.0</v>
      </c>
      <c r="F5" s="11">
        <v>6.0</v>
      </c>
      <c r="G5" s="12">
        <f t="shared" si="1"/>
        <v>0</v>
      </c>
      <c r="H5" s="13">
        <v>45763.0</v>
      </c>
      <c r="I5" s="14" t="s">
        <v>14</v>
      </c>
      <c r="J5" s="15">
        <v>45785.0</v>
      </c>
      <c r="K5" s="7" t="s">
        <v>656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 t="s">
        <v>103</v>
      </c>
      <c r="C6" s="9" t="s">
        <v>104</v>
      </c>
      <c r="D6" s="10">
        <v>2.6961946E7</v>
      </c>
      <c r="E6" s="7">
        <v>1.0</v>
      </c>
      <c r="F6" s="11">
        <v>1.0</v>
      </c>
      <c r="G6" s="12">
        <f t="shared" si="1"/>
        <v>0</v>
      </c>
      <c r="H6" s="13">
        <v>45770.0</v>
      </c>
      <c r="I6" s="14" t="s">
        <v>14</v>
      </c>
      <c r="J6" s="15">
        <v>45782.0</v>
      </c>
      <c r="K6" s="7" t="s">
        <v>656</v>
      </c>
      <c r="L6" s="2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">
        <v>5.0</v>
      </c>
      <c r="B7" s="8" t="s">
        <v>20</v>
      </c>
      <c r="C7" s="9" t="s">
        <v>21</v>
      </c>
      <c r="D7" s="10">
        <v>2.6961946E7</v>
      </c>
      <c r="E7" s="7">
        <v>2.0</v>
      </c>
      <c r="F7" s="11">
        <v>2.0</v>
      </c>
      <c r="G7" s="12">
        <f t="shared" si="1"/>
        <v>0</v>
      </c>
      <c r="H7" s="13">
        <v>45770.0</v>
      </c>
      <c r="I7" s="14" t="s">
        <v>14</v>
      </c>
      <c r="J7" s="15">
        <v>45785.0</v>
      </c>
      <c r="K7" s="7" t="s">
        <v>656</v>
      </c>
      <c r="L7" s="20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7">
        <v>6.0</v>
      </c>
      <c r="B8" s="8" t="s">
        <v>616</v>
      </c>
      <c r="C8" s="9" t="s">
        <v>149</v>
      </c>
      <c r="D8" s="10">
        <v>2.6961946E7</v>
      </c>
      <c r="E8" s="7">
        <v>1.0</v>
      </c>
      <c r="F8" s="11">
        <v>1.0</v>
      </c>
      <c r="G8" s="12">
        <f t="shared" si="1"/>
        <v>0</v>
      </c>
      <c r="H8" s="13">
        <v>45770.0</v>
      </c>
      <c r="I8" s="14" t="s">
        <v>14</v>
      </c>
      <c r="J8" s="15">
        <v>45785.0</v>
      </c>
      <c r="K8" s="7" t="s">
        <v>656</v>
      </c>
      <c r="L8" s="20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4.75" customHeight="1">
      <c r="A9" s="7">
        <v>7.0</v>
      </c>
      <c r="B9" s="8">
        <v>9.0812104E8</v>
      </c>
      <c r="C9" s="9" t="s">
        <v>618</v>
      </c>
      <c r="D9" s="10">
        <v>2.6961946E7</v>
      </c>
      <c r="E9" s="7">
        <v>2.0</v>
      </c>
      <c r="F9" s="11">
        <v>2.0</v>
      </c>
      <c r="G9" s="12">
        <f t="shared" si="1"/>
        <v>0</v>
      </c>
      <c r="H9" s="13">
        <v>45768.0</v>
      </c>
      <c r="I9" s="14" t="s">
        <v>14</v>
      </c>
      <c r="J9" s="15">
        <v>45785.0</v>
      </c>
      <c r="K9" s="7" t="s">
        <v>656</v>
      </c>
      <c r="L9" s="20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">
        <v>8.0</v>
      </c>
      <c r="B10" s="8">
        <v>9.08202098E8</v>
      </c>
      <c r="C10" s="9" t="s">
        <v>22</v>
      </c>
      <c r="D10" s="10">
        <v>2.6961946E7</v>
      </c>
      <c r="E10" s="7">
        <v>2.0</v>
      </c>
      <c r="F10" s="11">
        <v>6.0</v>
      </c>
      <c r="G10" s="12">
        <f t="shared" si="1"/>
        <v>-4</v>
      </c>
      <c r="H10" s="13">
        <v>45768.0</v>
      </c>
      <c r="I10" s="14" t="s">
        <v>14</v>
      </c>
      <c r="J10" s="15">
        <v>45785.0</v>
      </c>
      <c r="K10" s="7" t="s">
        <v>656</v>
      </c>
      <c r="L10" s="20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7">
        <v>9.0</v>
      </c>
      <c r="B11" s="8">
        <v>9.08122011E8</v>
      </c>
      <c r="C11" s="9" t="s">
        <v>23</v>
      </c>
      <c r="D11" s="10">
        <v>2.6961946E7</v>
      </c>
      <c r="E11" s="7">
        <v>3.0</v>
      </c>
      <c r="F11" s="11">
        <v>3.0</v>
      </c>
      <c r="G11" s="12">
        <f t="shared" si="1"/>
        <v>0</v>
      </c>
      <c r="H11" s="13">
        <v>45768.0</v>
      </c>
      <c r="I11" s="14" t="s">
        <v>14</v>
      </c>
      <c r="J11" s="15">
        <v>45785.0</v>
      </c>
      <c r="K11" s="7" t="s">
        <v>656</v>
      </c>
      <c r="L11" s="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7">
        <v>10.0</v>
      </c>
      <c r="B12" s="8">
        <v>9.08121008E8</v>
      </c>
      <c r="C12" s="9" t="s">
        <v>593</v>
      </c>
      <c r="D12" s="10">
        <v>2.6961946E7</v>
      </c>
      <c r="E12" s="7">
        <f>1+2</f>
        <v>3</v>
      </c>
      <c r="F12" s="11">
        <v>1.0</v>
      </c>
      <c r="G12" s="12">
        <f t="shared" si="1"/>
        <v>2</v>
      </c>
      <c r="H12" s="13" t="s">
        <v>658</v>
      </c>
      <c r="I12" s="14" t="s">
        <v>14</v>
      </c>
      <c r="J12" s="15">
        <v>45785.0</v>
      </c>
      <c r="K12" s="7" t="s">
        <v>656</v>
      </c>
      <c r="L12" s="20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">
        <v>11.0</v>
      </c>
      <c r="B13" s="8">
        <v>9.0812101E8</v>
      </c>
      <c r="C13" s="9" t="s">
        <v>450</v>
      </c>
      <c r="D13" s="10">
        <v>2.6961946E7</v>
      </c>
      <c r="E13" s="7">
        <v>2.0</v>
      </c>
      <c r="F13" s="11">
        <v>2.0</v>
      </c>
      <c r="G13" s="12">
        <f t="shared" si="1"/>
        <v>0</v>
      </c>
      <c r="H13" s="13">
        <v>45768.0</v>
      </c>
      <c r="I13" s="14" t="s">
        <v>14</v>
      </c>
      <c r="J13" s="15">
        <v>45785.0</v>
      </c>
      <c r="K13" s="7" t="s">
        <v>656</v>
      </c>
      <c r="L13" s="20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7">
        <v>12.0</v>
      </c>
      <c r="B14" s="8">
        <v>9.08020201E8</v>
      </c>
      <c r="C14" s="9" t="s">
        <v>13</v>
      </c>
      <c r="D14" s="10">
        <v>2.6961946E7</v>
      </c>
      <c r="E14" s="7">
        <v>1.0</v>
      </c>
      <c r="F14" s="11">
        <v>1.0</v>
      </c>
      <c r="G14" s="12">
        <f t="shared" si="1"/>
        <v>0</v>
      </c>
      <c r="H14" s="13">
        <v>45768.0</v>
      </c>
      <c r="I14" s="14" t="s">
        <v>14</v>
      </c>
      <c r="J14" s="15">
        <v>45785.0</v>
      </c>
      <c r="K14" s="7" t="s">
        <v>656</v>
      </c>
      <c r="L14" s="20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31.5" customHeight="1">
      <c r="A15" s="7">
        <v>13.0</v>
      </c>
      <c r="B15" s="8">
        <v>9.08113004E8</v>
      </c>
      <c r="C15" s="9" t="s">
        <v>203</v>
      </c>
      <c r="D15" s="10">
        <v>2.6961946E7</v>
      </c>
      <c r="E15" s="7">
        <v>8.0</v>
      </c>
      <c r="F15" s="11">
        <v>8.0</v>
      </c>
      <c r="G15" s="12">
        <f t="shared" si="1"/>
        <v>0</v>
      </c>
      <c r="H15" s="13">
        <v>45770.0</v>
      </c>
      <c r="I15" s="14" t="s">
        <v>14</v>
      </c>
      <c r="J15" s="15">
        <v>45785.0</v>
      </c>
      <c r="K15" s="7" t="s">
        <v>656</v>
      </c>
      <c r="L15" s="9"/>
    </row>
    <row r="16" ht="31.5" customHeight="1">
      <c r="A16" s="7">
        <v>14.0</v>
      </c>
      <c r="B16" s="8">
        <v>9.08020201E8</v>
      </c>
      <c r="C16" s="9" t="s">
        <v>13</v>
      </c>
      <c r="D16" s="10">
        <v>2.7154173E7</v>
      </c>
      <c r="E16" s="7">
        <v>1.0</v>
      </c>
      <c r="F16" s="11">
        <v>1.0</v>
      </c>
      <c r="G16" s="12">
        <f t="shared" si="1"/>
        <v>0</v>
      </c>
      <c r="H16" s="13">
        <v>45796.0</v>
      </c>
      <c r="I16" s="14" t="s">
        <v>14</v>
      </c>
      <c r="J16" s="15">
        <v>45799.0</v>
      </c>
      <c r="K16" s="7" t="s">
        <v>656</v>
      </c>
      <c r="L16" s="9"/>
    </row>
    <row r="17" ht="31.5" customHeight="1">
      <c r="A17" s="7">
        <v>15.0</v>
      </c>
      <c r="B17" s="8">
        <v>9.0820203E8</v>
      </c>
      <c r="C17" s="9" t="s">
        <v>19</v>
      </c>
      <c r="D17" s="10">
        <v>2.7154173E7</v>
      </c>
      <c r="E17" s="7">
        <v>5.0</v>
      </c>
      <c r="F17" s="11">
        <v>3.0</v>
      </c>
      <c r="G17" s="12">
        <f t="shared" si="1"/>
        <v>2</v>
      </c>
      <c r="H17" s="13">
        <v>45796.0</v>
      </c>
      <c r="I17" s="14" t="s">
        <v>14</v>
      </c>
      <c r="J17" s="15">
        <v>45799.0</v>
      </c>
      <c r="K17" s="7" t="s">
        <v>656</v>
      </c>
      <c r="L17" s="9"/>
    </row>
    <row r="18" ht="31.5" customHeight="1">
      <c r="A18" s="7">
        <v>16.0</v>
      </c>
      <c r="B18" s="8" t="s">
        <v>20</v>
      </c>
      <c r="C18" s="9" t="s">
        <v>21</v>
      </c>
      <c r="D18" s="10">
        <v>2.7154173E7</v>
      </c>
      <c r="E18" s="7">
        <v>1.0</v>
      </c>
      <c r="F18" s="11">
        <v>1.0</v>
      </c>
      <c r="G18" s="12">
        <f t="shared" si="1"/>
        <v>0</v>
      </c>
      <c r="H18" s="13">
        <v>45796.0</v>
      </c>
      <c r="I18" s="14" t="s">
        <v>14</v>
      </c>
      <c r="J18" s="15">
        <v>45799.0</v>
      </c>
      <c r="K18" s="7" t="s">
        <v>656</v>
      </c>
      <c r="L18" s="9"/>
    </row>
    <row r="19" ht="31.5" customHeight="1">
      <c r="A19" s="7">
        <v>17.0</v>
      </c>
      <c r="B19" s="8">
        <v>9.08202189E8</v>
      </c>
      <c r="C19" s="9" t="s">
        <v>55</v>
      </c>
      <c r="D19" s="10">
        <v>2.7154173E7</v>
      </c>
      <c r="E19" s="7">
        <v>1.0</v>
      </c>
      <c r="F19" s="11">
        <v>1.0</v>
      </c>
      <c r="G19" s="12">
        <f t="shared" si="1"/>
        <v>0</v>
      </c>
      <c r="H19" s="13">
        <v>45796.0</v>
      </c>
      <c r="I19" s="14" t="s">
        <v>14</v>
      </c>
      <c r="J19" s="15">
        <v>45799.0</v>
      </c>
      <c r="K19" s="7" t="s">
        <v>656</v>
      </c>
      <c r="L19" s="9"/>
    </row>
    <row r="20" ht="31.5" customHeight="1">
      <c r="A20" s="7">
        <v>18.0</v>
      </c>
      <c r="B20" s="147">
        <v>9.08371003E8</v>
      </c>
      <c r="C20" s="7" t="s">
        <v>81</v>
      </c>
      <c r="D20" s="10">
        <v>2.7154173E7</v>
      </c>
      <c r="E20" s="7">
        <v>1.0</v>
      </c>
      <c r="F20" s="11">
        <v>1.0</v>
      </c>
      <c r="G20" s="12">
        <f t="shared" si="1"/>
        <v>0</v>
      </c>
      <c r="H20" s="13">
        <v>45796.0</v>
      </c>
      <c r="I20" s="14" t="s">
        <v>14</v>
      </c>
      <c r="J20" s="15">
        <v>45799.0</v>
      </c>
      <c r="K20" s="7" t="s">
        <v>656</v>
      </c>
      <c r="L20" s="9"/>
    </row>
    <row r="21" ht="31.5" customHeight="1">
      <c r="A21" s="7">
        <v>19.0</v>
      </c>
      <c r="B21" s="8">
        <v>9.08402208E8</v>
      </c>
      <c r="C21" s="29" t="s">
        <v>111</v>
      </c>
      <c r="D21" s="10">
        <v>2.7154173E7</v>
      </c>
      <c r="E21" s="7">
        <v>1.0</v>
      </c>
      <c r="F21" s="11">
        <v>1.0</v>
      </c>
      <c r="G21" s="12">
        <f t="shared" si="1"/>
        <v>0</v>
      </c>
      <c r="H21" s="13">
        <v>45796.0</v>
      </c>
      <c r="I21" s="14" t="s">
        <v>14</v>
      </c>
      <c r="J21" s="15">
        <v>45799.0</v>
      </c>
      <c r="K21" s="7" t="s">
        <v>656</v>
      </c>
      <c r="L21" s="9"/>
    </row>
    <row r="22" ht="31.5" customHeight="1">
      <c r="A22" s="7">
        <v>20.0</v>
      </c>
      <c r="B22" s="8">
        <v>9.0812201E8</v>
      </c>
      <c r="C22" s="9" t="s">
        <v>659</v>
      </c>
      <c r="D22" s="10">
        <v>2.7154173E7</v>
      </c>
      <c r="E22" s="7">
        <v>4.0</v>
      </c>
      <c r="F22" s="11"/>
      <c r="G22" s="12"/>
      <c r="H22" s="13">
        <v>45796.0</v>
      </c>
      <c r="I22" s="14" t="s">
        <v>14</v>
      </c>
      <c r="J22" s="15"/>
      <c r="K22" s="7"/>
      <c r="L22" s="9"/>
    </row>
    <row r="23" ht="31.5" customHeight="1">
      <c r="A23" s="7"/>
      <c r="B23" s="8">
        <v>9.08421001E8</v>
      </c>
      <c r="C23" s="29" t="s">
        <v>532</v>
      </c>
      <c r="D23" s="10">
        <v>2.7154173E7</v>
      </c>
      <c r="E23" s="7">
        <v>1.0</v>
      </c>
      <c r="F23" s="11"/>
      <c r="G23" s="12">
        <v>1.0</v>
      </c>
      <c r="H23" s="13">
        <v>45796.0</v>
      </c>
      <c r="I23" s="14" t="s">
        <v>14</v>
      </c>
      <c r="J23" s="15"/>
      <c r="K23" s="7"/>
      <c r="L23" s="9"/>
    </row>
    <row r="24" ht="31.5" customHeight="1">
      <c r="A24" s="7"/>
      <c r="B24" s="8"/>
      <c r="C24" s="9"/>
      <c r="D24" s="10"/>
      <c r="E24" s="7"/>
      <c r="F24" s="11"/>
      <c r="G24" s="12"/>
      <c r="H24" s="13"/>
      <c r="I24" s="14"/>
      <c r="J24" s="15"/>
      <c r="K24" s="7"/>
      <c r="L24" s="9"/>
    </row>
    <row r="25" ht="15.75" customHeight="1">
      <c r="A25" s="7"/>
      <c r="B25" s="8"/>
      <c r="C25" s="9"/>
      <c r="D25" s="10"/>
      <c r="E25" s="7"/>
      <c r="F25" s="11"/>
      <c r="G25" s="12"/>
      <c r="H25" s="13"/>
      <c r="I25" s="14"/>
      <c r="J25" s="15"/>
      <c r="K25" s="7"/>
      <c r="L25" s="9"/>
    </row>
    <row r="26" ht="15.75" customHeight="1"/>
    <row r="27" ht="15.75" customHeight="1">
      <c r="A27" s="7"/>
      <c r="B27" s="132" t="s">
        <v>633</v>
      </c>
      <c r="C27" s="133"/>
      <c r="D27" s="133"/>
      <c r="E27" s="133"/>
      <c r="F27" s="133"/>
      <c r="G27" s="133"/>
      <c r="H27" s="133"/>
      <c r="I27" s="133"/>
      <c r="J27" s="133"/>
      <c r="K27" s="133"/>
      <c r="L27" s="27"/>
    </row>
    <row r="28" ht="15.75" customHeight="1">
      <c r="A28" s="7" t="s">
        <v>660</v>
      </c>
      <c r="B28" s="7" t="s">
        <v>661</v>
      </c>
      <c r="C28" s="4" t="s">
        <v>3</v>
      </c>
      <c r="D28" s="4" t="s">
        <v>4</v>
      </c>
      <c r="E28" s="4" t="s">
        <v>5</v>
      </c>
      <c r="F28" s="11"/>
      <c r="G28" s="12"/>
      <c r="H28" s="13"/>
      <c r="I28" s="14"/>
      <c r="J28" s="15"/>
      <c r="K28" s="7"/>
      <c r="L28" s="9"/>
    </row>
    <row r="29" ht="15.75" customHeight="1">
      <c r="A29" s="7">
        <v>1.0</v>
      </c>
      <c r="B29" s="8">
        <v>2.43141206E8</v>
      </c>
      <c r="C29" s="9" t="s">
        <v>662</v>
      </c>
      <c r="D29" s="10"/>
      <c r="E29" s="7">
        <v>1.0</v>
      </c>
      <c r="F29" s="11"/>
      <c r="G29" s="12"/>
      <c r="H29" s="13">
        <v>45785.0</v>
      </c>
      <c r="I29" s="14"/>
      <c r="J29" s="15"/>
      <c r="K29" s="7" t="s">
        <v>656</v>
      </c>
      <c r="L29" s="9" t="s">
        <v>637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H37" s="18" t="s">
        <v>341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B27:L27"/>
  </mergeCells>
  <printOptions/>
  <pageMargins bottom="0.75" footer="0.0" header="0.0" left="0.7" right="0.7" top="0.75"/>
  <pageSetup scale="27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663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9.08121008E8</v>
      </c>
      <c r="C3" s="9" t="s">
        <v>17</v>
      </c>
      <c r="D3" s="10">
        <v>2.6955784E7</v>
      </c>
      <c r="E3" s="7">
        <v>2.0</v>
      </c>
      <c r="F3" s="11">
        <v>2.0</v>
      </c>
      <c r="G3" s="12">
        <f t="shared" ref="G3:G15" si="1">E3-F3</f>
        <v>0</v>
      </c>
      <c r="H3" s="13">
        <v>45756.0</v>
      </c>
      <c r="I3" s="14" t="s">
        <v>14</v>
      </c>
      <c r="J3" s="15">
        <v>45766.0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9.08111005E8</v>
      </c>
      <c r="C4" s="9" t="s">
        <v>608</v>
      </c>
      <c r="D4" s="10">
        <v>2.6955784E7</v>
      </c>
      <c r="E4" s="7">
        <v>21.0</v>
      </c>
      <c r="F4" s="11">
        <v>21.0</v>
      </c>
      <c r="G4" s="12">
        <f t="shared" si="1"/>
        <v>0</v>
      </c>
      <c r="H4" s="13">
        <v>45763.0</v>
      </c>
      <c r="I4" s="14" t="s">
        <v>14</v>
      </c>
      <c r="J4" s="15">
        <v>45766.0</v>
      </c>
      <c r="K4" s="7" t="s">
        <v>294</v>
      </c>
      <c r="L4" s="9"/>
    </row>
    <row r="5">
      <c r="A5" s="7">
        <v>3.0</v>
      </c>
      <c r="B5" s="8">
        <v>9.08421003E8</v>
      </c>
      <c r="C5" s="9" t="s">
        <v>386</v>
      </c>
      <c r="D5" s="10">
        <v>2.7670094E7</v>
      </c>
      <c r="E5" s="7">
        <v>1.0</v>
      </c>
      <c r="F5" s="11">
        <v>1.0</v>
      </c>
      <c r="G5" s="12">
        <f t="shared" si="1"/>
        <v>0</v>
      </c>
      <c r="H5" s="13">
        <v>45901.0</v>
      </c>
      <c r="I5" s="14" t="s">
        <v>14</v>
      </c>
      <c r="J5" s="15">
        <v>45902.0</v>
      </c>
      <c r="K5" s="7" t="s">
        <v>283</v>
      </c>
      <c r="L5" s="9"/>
    </row>
    <row r="6">
      <c r="A6" s="7">
        <v>4.0</v>
      </c>
      <c r="B6" s="8">
        <v>9.08402208E8</v>
      </c>
      <c r="C6" s="9" t="s">
        <v>111</v>
      </c>
      <c r="D6" s="10">
        <v>2.7670094E7</v>
      </c>
      <c r="E6" s="7">
        <v>5.0</v>
      </c>
      <c r="F6" s="11">
        <v>5.0</v>
      </c>
      <c r="G6" s="12">
        <f t="shared" si="1"/>
        <v>0</v>
      </c>
      <c r="H6" s="13">
        <v>45901.0</v>
      </c>
      <c r="I6" s="14" t="s">
        <v>14</v>
      </c>
      <c r="J6" s="15">
        <v>45902.0</v>
      </c>
      <c r="K6" s="7" t="s">
        <v>283</v>
      </c>
      <c r="L6" s="9"/>
    </row>
    <row r="7">
      <c r="A7" s="7">
        <v>5.0</v>
      </c>
      <c r="B7" s="8">
        <v>9.08371013E8</v>
      </c>
      <c r="C7" s="20" t="s">
        <v>121</v>
      </c>
      <c r="D7" s="10">
        <v>2.7670094E7</v>
      </c>
      <c r="E7" s="7">
        <v>5.0</v>
      </c>
      <c r="F7" s="11">
        <v>5.0</v>
      </c>
      <c r="G7" s="12">
        <f t="shared" si="1"/>
        <v>0</v>
      </c>
      <c r="H7" s="13">
        <v>45901.0</v>
      </c>
      <c r="I7" s="14" t="s">
        <v>14</v>
      </c>
      <c r="J7" s="15">
        <v>45902.0</v>
      </c>
      <c r="K7" s="7" t="s">
        <v>283</v>
      </c>
      <c r="L7" s="9"/>
    </row>
    <row r="8">
      <c r="A8" s="7">
        <v>6.0</v>
      </c>
      <c r="B8" s="8">
        <v>9.0820203E8</v>
      </c>
      <c r="C8" s="9" t="s">
        <v>19</v>
      </c>
      <c r="D8" s="10">
        <v>2.7670094E7</v>
      </c>
      <c r="E8" s="7">
        <v>25.0</v>
      </c>
      <c r="F8" s="11">
        <v>5.0</v>
      </c>
      <c r="G8" s="12">
        <f t="shared" si="1"/>
        <v>20</v>
      </c>
      <c r="H8" s="13">
        <v>45901.0</v>
      </c>
      <c r="I8" s="14" t="s">
        <v>14</v>
      </c>
      <c r="J8" s="15">
        <v>45902.0</v>
      </c>
      <c r="K8" s="7" t="s">
        <v>283</v>
      </c>
      <c r="L8" s="9"/>
    </row>
    <row r="9">
      <c r="A9" s="7">
        <v>7.0</v>
      </c>
      <c r="B9" s="8">
        <v>9.08122003E8</v>
      </c>
      <c r="C9" s="9" t="s">
        <v>368</v>
      </c>
      <c r="D9" s="10">
        <v>2.7670094E7</v>
      </c>
      <c r="E9" s="7">
        <v>16.0</v>
      </c>
      <c r="F9" s="11">
        <v>16.0</v>
      </c>
      <c r="G9" s="12">
        <f t="shared" si="1"/>
        <v>0</v>
      </c>
      <c r="H9" s="13">
        <v>45901.0</v>
      </c>
      <c r="I9" s="14" t="s">
        <v>14</v>
      </c>
      <c r="J9" s="15">
        <v>45902.0</v>
      </c>
      <c r="K9" s="7" t="s">
        <v>283</v>
      </c>
      <c r="L9" s="9"/>
    </row>
    <row r="10">
      <c r="A10" s="7">
        <v>8.0</v>
      </c>
      <c r="B10" s="8">
        <v>9.08111101E8</v>
      </c>
      <c r="C10" s="9" t="s">
        <v>24</v>
      </c>
      <c r="D10" s="10">
        <v>2.7670094E7</v>
      </c>
      <c r="E10" s="7">
        <v>8.0</v>
      </c>
      <c r="F10" s="11">
        <v>6.0</v>
      </c>
      <c r="G10" s="12">
        <f t="shared" si="1"/>
        <v>2</v>
      </c>
      <c r="H10" s="13">
        <v>45901.0</v>
      </c>
      <c r="I10" s="14" t="s">
        <v>14</v>
      </c>
      <c r="J10" s="15">
        <v>45902.0</v>
      </c>
      <c r="K10" s="7" t="s">
        <v>283</v>
      </c>
      <c r="L10" s="9"/>
    </row>
    <row r="11">
      <c r="A11" s="7">
        <v>9.0</v>
      </c>
      <c r="B11" s="8">
        <v>9.0812201E8</v>
      </c>
      <c r="C11" s="9" t="s">
        <v>80</v>
      </c>
      <c r="D11" s="10">
        <v>2.7670094E7</v>
      </c>
      <c r="E11" s="7">
        <v>16.0</v>
      </c>
      <c r="F11" s="11">
        <v>12.0</v>
      </c>
      <c r="G11" s="12">
        <f t="shared" si="1"/>
        <v>4</v>
      </c>
      <c r="H11" s="13">
        <v>45901.0</v>
      </c>
      <c r="I11" s="14" t="s">
        <v>14</v>
      </c>
      <c r="J11" s="15">
        <v>45902.0</v>
      </c>
      <c r="K11" s="7" t="s">
        <v>283</v>
      </c>
      <c r="L11" s="9"/>
    </row>
    <row r="12">
      <c r="A12" s="7">
        <v>10.0</v>
      </c>
      <c r="B12" s="8">
        <v>9.08202189E8</v>
      </c>
      <c r="C12" s="9" t="s">
        <v>55</v>
      </c>
      <c r="D12" s="10">
        <v>2.7670094E7</v>
      </c>
      <c r="E12" s="7">
        <v>2.0</v>
      </c>
      <c r="F12" s="11">
        <v>2.0</v>
      </c>
      <c r="G12" s="12">
        <f t="shared" si="1"/>
        <v>0</v>
      </c>
      <c r="H12" s="13">
        <v>45901.0</v>
      </c>
      <c r="I12" s="14" t="s">
        <v>14</v>
      </c>
      <c r="J12" s="15">
        <v>45902.0</v>
      </c>
      <c r="K12" s="7" t="s">
        <v>283</v>
      </c>
      <c r="L12" s="9"/>
    </row>
    <row r="13">
      <c r="A13" s="7">
        <v>11.0</v>
      </c>
      <c r="B13" s="8" t="s">
        <v>20</v>
      </c>
      <c r="C13" s="8" t="s">
        <v>21</v>
      </c>
      <c r="D13" s="10">
        <v>2.7670094E7</v>
      </c>
      <c r="E13" s="7">
        <v>2.0</v>
      </c>
      <c r="F13" s="11">
        <v>2.0</v>
      </c>
      <c r="G13" s="12">
        <f t="shared" si="1"/>
        <v>0</v>
      </c>
      <c r="H13" s="13">
        <v>45901.0</v>
      </c>
      <c r="I13" s="14" t="s">
        <v>14</v>
      </c>
      <c r="J13" s="15">
        <v>45902.0</v>
      </c>
      <c r="K13" s="7" t="s">
        <v>283</v>
      </c>
      <c r="L13" s="9"/>
    </row>
    <row r="14">
      <c r="A14" s="7">
        <v>12.0</v>
      </c>
      <c r="B14" s="8">
        <v>9.08020201E8</v>
      </c>
      <c r="C14" s="9" t="s">
        <v>13</v>
      </c>
      <c r="D14" s="10">
        <v>2.7670094E7</v>
      </c>
      <c r="E14" s="7">
        <v>1.0</v>
      </c>
      <c r="F14" s="11"/>
      <c r="G14" s="12">
        <f t="shared" si="1"/>
        <v>1</v>
      </c>
      <c r="H14" s="13">
        <v>45901.0</v>
      </c>
      <c r="I14" s="14" t="s">
        <v>14</v>
      </c>
      <c r="J14" s="15"/>
      <c r="K14" s="7"/>
      <c r="L14" s="9"/>
    </row>
    <row r="15">
      <c r="A15" s="7">
        <v>13.0</v>
      </c>
      <c r="B15" s="8">
        <v>9.08421025E8</v>
      </c>
      <c r="C15" s="20" t="s">
        <v>112</v>
      </c>
      <c r="D15" s="10">
        <v>2.7670094E7</v>
      </c>
      <c r="E15" s="7">
        <v>1.0</v>
      </c>
      <c r="F15" s="11">
        <v>1.0</v>
      </c>
      <c r="G15" s="12">
        <f t="shared" si="1"/>
        <v>0</v>
      </c>
      <c r="H15" s="13">
        <v>45901.0</v>
      </c>
      <c r="I15" s="14" t="s">
        <v>14</v>
      </c>
      <c r="J15" s="15">
        <v>45902.0</v>
      </c>
      <c r="K15" s="7" t="s">
        <v>283</v>
      </c>
      <c r="L15" s="9"/>
    </row>
    <row r="16">
      <c r="A16" s="7"/>
      <c r="B16" s="8"/>
      <c r="C16" s="9"/>
      <c r="D16" s="10"/>
      <c r="E16" s="7"/>
      <c r="F16" s="11"/>
      <c r="G16" s="12"/>
      <c r="H16" s="13" t="s">
        <v>341</v>
      </c>
      <c r="I16" s="14"/>
      <c r="J16" s="15"/>
      <c r="K16" s="7"/>
      <c r="L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664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2.6920525E7</v>
      </c>
      <c r="E3" s="7">
        <v>1.0</v>
      </c>
      <c r="F3" s="11"/>
      <c r="G3" s="12">
        <f t="shared" ref="G3:G20" si="1">E3-F3</f>
        <v>1</v>
      </c>
      <c r="H3" s="13">
        <v>45754.0</v>
      </c>
      <c r="I3" s="14" t="s">
        <v>14</v>
      </c>
      <c r="J3" s="15"/>
      <c r="K3" s="7"/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2.6920525E7</v>
      </c>
      <c r="E4" s="7">
        <v>1.0</v>
      </c>
      <c r="F4" s="11">
        <v>1.0</v>
      </c>
      <c r="G4" s="12">
        <f t="shared" si="1"/>
        <v>0</v>
      </c>
      <c r="H4" s="13">
        <v>45754.0</v>
      </c>
      <c r="I4" s="14" t="s">
        <v>14</v>
      </c>
      <c r="J4" s="15">
        <v>45763.0</v>
      </c>
      <c r="K4" s="7" t="s">
        <v>382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2.6920525E7</v>
      </c>
      <c r="E5" s="7">
        <v>1.0</v>
      </c>
      <c r="F5" s="11">
        <v>1.0</v>
      </c>
      <c r="G5" s="12">
        <f t="shared" si="1"/>
        <v>0</v>
      </c>
      <c r="H5" s="13">
        <v>45754.0</v>
      </c>
      <c r="I5" s="14" t="s">
        <v>14</v>
      </c>
      <c r="J5" s="15">
        <v>45763.0</v>
      </c>
      <c r="K5" s="7" t="s">
        <v>382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2.6920525E7</v>
      </c>
      <c r="E6" s="7">
        <v>2.0</v>
      </c>
      <c r="F6" s="11">
        <v>2.0</v>
      </c>
      <c r="G6" s="12">
        <f t="shared" si="1"/>
        <v>0</v>
      </c>
      <c r="H6" s="13">
        <v>45754.0</v>
      </c>
      <c r="I6" s="14" t="s">
        <v>14</v>
      </c>
      <c r="J6" s="15">
        <v>45763.0</v>
      </c>
      <c r="K6" s="7" t="s">
        <v>382</v>
      </c>
      <c r="L6" s="20"/>
    </row>
    <row r="7">
      <c r="A7" s="7">
        <v>5.0</v>
      </c>
      <c r="B7" s="8">
        <v>9.0820203E8</v>
      </c>
      <c r="C7" s="9" t="s">
        <v>454</v>
      </c>
      <c r="D7" s="10">
        <v>2.6920525E7</v>
      </c>
      <c r="E7" s="7">
        <v>2.0</v>
      </c>
      <c r="F7" s="11">
        <v>2.0</v>
      </c>
      <c r="G7" s="12">
        <f t="shared" si="1"/>
        <v>0</v>
      </c>
      <c r="H7" s="13">
        <v>45754.0</v>
      </c>
      <c r="I7" s="14" t="s">
        <v>14</v>
      </c>
      <c r="J7" s="15">
        <v>45763.0</v>
      </c>
      <c r="K7" s="7" t="s">
        <v>382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2.6920525E7</v>
      </c>
      <c r="E8" s="7">
        <v>2.0</v>
      </c>
      <c r="F8" s="11">
        <v>2.0</v>
      </c>
      <c r="G8" s="12">
        <f t="shared" si="1"/>
        <v>0</v>
      </c>
      <c r="H8" s="13">
        <v>45754.0</v>
      </c>
      <c r="I8" s="14" t="s">
        <v>14</v>
      </c>
      <c r="J8" s="15">
        <v>45763.0</v>
      </c>
      <c r="K8" s="7" t="s">
        <v>382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2.6920525E7</v>
      </c>
      <c r="E9" s="7">
        <v>1.0</v>
      </c>
      <c r="F9" s="11">
        <v>1.0</v>
      </c>
      <c r="G9" s="12">
        <f t="shared" si="1"/>
        <v>0</v>
      </c>
      <c r="H9" s="13">
        <v>45754.0</v>
      </c>
      <c r="I9" s="14" t="s">
        <v>14</v>
      </c>
      <c r="J9" s="15">
        <v>45763.0</v>
      </c>
      <c r="K9" s="7" t="s">
        <v>382</v>
      </c>
      <c r="L9" s="9"/>
    </row>
    <row r="10" ht="29.25" customHeight="1">
      <c r="A10" s="7">
        <v>8.0</v>
      </c>
      <c r="B10" s="8">
        <v>9.0812201E8</v>
      </c>
      <c r="C10" s="9" t="s">
        <v>659</v>
      </c>
      <c r="D10" s="10">
        <v>2.6920525E7</v>
      </c>
      <c r="E10" s="7">
        <v>4.0</v>
      </c>
      <c r="F10" s="11">
        <v>6.0</v>
      </c>
      <c r="G10" s="12">
        <f t="shared" si="1"/>
        <v>-2</v>
      </c>
      <c r="H10" s="13">
        <v>45754.0</v>
      </c>
      <c r="I10" s="14" t="s">
        <v>14</v>
      </c>
      <c r="J10" s="15">
        <v>45763.0</v>
      </c>
      <c r="K10" s="7" t="s">
        <v>382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2.6920525E7</v>
      </c>
      <c r="E11" s="7">
        <v>242.0</v>
      </c>
      <c r="F11" s="11">
        <v>242.0</v>
      </c>
      <c r="G11" s="12">
        <f t="shared" si="1"/>
        <v>0</v>
      </c>
      <c r="H11" s="13">
        <v>45754.0</v>
      </c>
      <c r="I11" s="14" t="s">
        <v>14</v>
      </c>
      <c r="J11" s="15">
        <v>45763.0</v>
      </c>
      <c r="K11" s="7" t="s">
        <v>382</v>
      </c>
      <c r="L11" s="9" t="s">
        <v>665</v>
      </c>
    </row>
    <row r="12">
      <c r="A12" s="7">
        <v>10.0</v>
      </c>
      <c r="B12" s="8">
        <v>9.08111005E8</v>
      </c>
      <c r="C12" s="9" t="s">
        <v>608</v>
      </c>
      <c r="D12" s="10">
        <v>2.6920525E7</v>
      </c>
      <c r="E12" s="7">
        <v>8.0</v>
      </c>
      <c r="F12" s="11">
        <v>8.0</v>
      </c>
      <c r="G12" s="12">
        <f t="shared" si="1"/>
        <v>0</v>
      </c>
      <c r="H12" s="13">
        <v>45754.0</v>
      </c>
      <c r="I12" s="14" t="s">
        <v>14</v>
      </c>
      <c r="J12" s="15">
        <v>45763.0</v>
      </c>
      <c r="K12" s="7" t="s">
        <v>382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2.6920525E7</v>
      </c>
      <c r="E13" s="7">
        <v>6.0</v>
      </c>
      <c r="F13" s="11">
        <v>6.0</v>
      </c>
      <c r="G13" s="12">
        <f t="shared" si="1"/>
        <v>0</v>
      </c>
      <c r="H13" s="13">
        <v>45754.0</v>
      </c>
      <c r="I13" s="14" t="s">
        <v>14</v>
      </c>
      <c r="J13" s="15">
        <v>45763.0</v>
      </c>
      <c r="K13" s="7" t="s">
        <v>382</v>
      </c>
      <c r="L13" s="9"/>
    </row>
    <row r="14">
      <c r="A14" s="7">
        <v>12.0</v>
      </c>
      <c r="B14" s="147">
        <v>9.08020201E8</v>
      </c>
      <c r="C14" s="7" t="s">
        <v>13</v>
      </c>
      <c r="D14" s="10">
        <v>2.7119935E7</v>
      </c>
      <c r="E14" s="7">
        <v>1.0</v>
      </c>
      <c r="F14" s="11"/>
      <c r="G14" s="12">
        <f t="shared" si="1"/>
        <v>1</v>
      </c>
      <c r="H14" s="13">
        <v>45788.0</v>
      </c>
      <c r="I14" s="14" t="s">
        <v>14</v>
      </c>
      <c r="J14" s="15"/>
      <c r="K14" s="7"/>
      <c r="L14" s="9"/>
    </row>
    <row r="15">
      <c r="A15" s="7">
        <v>13.0</v>
      </c>
      <c r="B15" s="8">
        <v>9.0820203E8</v>
      </c>
      <c r="C15" s="9" t="s">
        <v>454</v>
      </c>
      <c r="D15" s="10">
        <v>2.7119935E7</v>
      </c>
      <c r="E15" s="7">
        <v>5.0</v>
      </c>
      <c r="F15" s="11"/>
      <c r="G15" s="12">
        <f t="shared" si="1"/>
        <v>5</v>
      </c>
      <c r="H15" s="13">
        <v>45788.0</v>
      </c>
      <c r="I15" s="14" t="s">
        <v>14</v>
      </c>
      <c r="J15" s="15"/>
      <c r="K15" s="7"/>
      <c r="L15" s="9"/>
    </row>
    <row r="16">
      <c r="A16" s="7">
        <v>14.0</v>
      </c>
      <c r="B16" s="8">
        <v>9.08202054E8</v>
      </c>
      <c r="C16" s="9" t="s">
        <v>455</v>
      </c>
      <c r="D16" s="10">
        <v>2.7119935E7</v>
      </c>
      <c r="E16" s="7">
        <v>1.0</v>
      </c>
      <c r="F16" s="11"/>
      <c r="G16" s="12">
        <f t="shared" si="1"/>
        <v>1</v>
      </c>
      <c r="H16" s="13">
        <v>45788.0</v>
      </c>
      <c r="I16" s="14" t="s">
        <v>14</v>
      </c>
      <c r="J16" s="15"/>
      <c r="K16" s="7"/>
      <c r="L16" s="9"/>
    </row>
    <row r="17">
      <c r="A17" s="7">
        <v>15.0</v>
      </c>
      <c r="B17" s="8">
        <v>9.08202189E8</v>
      </c>
      <c r="C17" s="9" t="s">
        <v>55</v>
      </c>
      <c r="D17" s="10">
        <v>2.7119935E7</v>
      </c>
      <c r="E17" s="7">
        <v>1.0</v>
      </c>
      <c r="F17" s="11"/>
      <c r="G17" s="12">
        <f t="shared" si="1"/>
        <v>1</v>
      </c>
      <c r="H17" s="13">
        <v>45788.0</v>
      </c>
      <c r="I17" s="14" t="s">
        <v>14</v>
      </c>
      <c r="J17" s="15"/>
      <c r="K17" s="7"/>
      <c r="L17" s="9"/>
    </row>
    <row r="18">
      <c r="A18" s="7">
        <v>16.0</v>
      </c>
      <c r="B18" s="8">
        <v>9.08402207E8</v>
      </c>
      <c r="C18" s="9" t="s">
        <v>377</v>
      </c>
      <c r="D18" s="10">
        <v>2.7119935E7</v>
      </c>
      <c r="E18" s="7">
        <v>1.0</v>
      </c>
      <c r="F18" s="11"/>
      <c r="G18" s="12">
        <f t="shared" si="1"/>
        <v>1</v>
      </c>
      <c r="H18" s="13">
        <v>45788.0</v>
      </c>
      <c r="I18" s="14" t="s">
        <v>14</v>
      </c>
      <c r="J18" s="15"/>
      <c r="K18" s="7"/>
      <c r="L18" s="9"/>
    </row>
    <row r="19">
      <c r="A19" s="7">
        <v>17.0</v>
      </c>
      <c r="B19" s="8">
        <v>9.08421001E8</v>
      </c>
      <c r="C19" s="29" t="s">
        <v>532</v>
      </c>
      <c r="D19" s="10">
        <v>2.7119935E7</v>
      </c>
      <c r="E19" s="7">
        <v>1.0</v>
      </c>
      <c r="F19" s="11"/>
      <c r="G19" s="12">
        <f t="shared" si="1"/>
        <v>1</v>
      </c>
      <c r="H19" s="13">
        <v>45788.0</v>
      </c>
      <c r="I19" s="14" t="s">
        <v>14</v>
      </c>
      <c r="J19" s="15"/>
      <c r="K19" s="7"/>
      <c r="L19" s="9"/>
    </row>
    <row r="20">
      <c r="A20" s="7">
        <v>18.0</v>
      </c>
      <c r="B20" s="8">
        <v>9.08370504E8</v>
      </c>
      <c r="C20" s="9" t="s">
        <v>525</v>
      </c>
      <c r="D20" s="10">
        <v>2.7119935E7</v>
      </c>
      <c r="E20" s="7">
        <v>1.0</v>
      </c>
      <c r="F20" s="11"/>
      <c r="G20" s="12">
        <f t="shared" si="1"/>
        <v>1</v>
      </c>
      <c r="H20" s="13">
        <v>45805.0</v>
      </c>
      <c r="I20" s="14" t="s">
        <v>14</v>
      </c>
      <c r="J20" s="15"/>
      <c r="K20" s="7"/>
      <c r="L20" s="9"/>
    </row>
    <row r="21" ht="15.75" customHeight="1">
      <c r="A21" s="7"/>
      <c r="B21" s="8"/>
      <c r="C21" s="29"/>
      <c r="D21" s="10"/>
      <c r="E21" s="7"/>
      <c r="F21" s="11"/>
      <c r="G21" s="12"/>
      <c r="H21" s="13"/>
      <c r="I21" s="14"/>
      <c r="J21" s="15"/>
      <c r="K21" s="7"/>
      <c r="L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scale="27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666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3.0" customHeight="1">
      <c r="A3" s="7">
        <v>1.0</v>
      </c>
      <c r="B3" s="147">
        <v>9.08020201E8</v>
      </c>
      <c r="C3" s="7" t="s">
        <v>13</v>
      </c>
      <c r="D3" s="122">
        <v>2.6885055E7</v>
      </c>
      <c r="E3" s="123">
        <v>1.0</v>
      </c>
      <c r="F3" s="124"/>
      <c r="G3" s="125">
        <f t="shared" ref="G3:G19" si="1">E3-F3</f>
        <v>1</v>
      </c>
      <c r="H3" s="126">
        <v>45736.0</v>
      </c>
      <c r="I3" s="127" t="s">
        <v>14</v>
      </c>
      <c r="J3" s="126"/>
      <c r="K3" s="38"/>
      <c r="L3" s="128"/>
    </row>
    <row r="4" ht="39.0" customHeight="1">
      <c r="A4" s="7">
        <v>2.0</v>
      </c>
      <c r="B4" s="8">
        <v>9.08421001E8</v>
      </c>
      <c r="C4" s="29" t="s">
        <v>532</v>
      </c>
      <c r="D4" s="122">
        <v>2.6885055E7</v>
      </c>
      <c r="E4" s="123">
        <v>1.0</v>
      </c>
      <c r="F4" s="124">
        <v>1.0</v>
      </c>
      <c r="G4" s="125">
        <f t="shared" si="1"/>
        <v>0</v>
      </c>
      <c r="H4" s="126">
        <v>45736.0</v>
      </c>
      <c r="I4" s="127" t="s">
        <v>14</v>
      </c>
      <c r="J4" s="126">
        <v>45776.0</v>
      </c>
      <c r="K4" s="7" t="s">
        <v>294</v>
      </c>
      <c r="L4" s="128"/>
    </row>
    <row r="5" ht="62.25" customHeight="1">
      <c r="A5" s="7">
        <v>3.0</v>
      </c>
      <c r="B5" s="8">
        <v>9.08421003E8</v>
      </c>
      <c r="C5" s="29" t="s">
        <v>601</v>
      </c>
      <c r="D5" s="122">
        <v>2.6885055E7</v>
      </c>
      <c r="E5" s="123">
        <v>2.0</v>
      </c>
      <c r="F5" s="124">
        <f>1+1</f>
        <v>2</v>
      </c>
      <c r="G5" s="125">
        <f t="shared" si="1"/>
        <v>0</v>
      </c>
      <c r="H5" s="126">
        <v>45768.0</v>
      </c>
      <c r="I5" s="127" t="s">
        <v>14</v>
      </c>
      <c r="J5" s="148" t="s">
        <v>667</v>
      </c>
      <c r="K5" s="7" t="s">
        <v>294</v>
      </c>
      <c r="L5" s="128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39.0" customHeight="1">
      <c r="A6" s="7">
        <v>4.0</v>
      </c>
      <c r="B6" s="8">
        <v>9.0812101E8</v>
      </c>
      <c r="C6" s="29" t="s">
        <v>450</v>
      </c>
      <c r="D6" s="122">
        <v>2.6885055E7</v>
      </c>
      <c r="E6" s="123">
        <v>1.0</v>
      </c>
      <c r="F6" s="124">
        <v>1.0</v>
      </c>
      <c r="G6" s="125">
        <f t="shared" si="1"/>
        <v>0</v>
      </c>
      <c r="H6" s="126">
        <v>45736.0</v>
      </c>
      <c r="I6" s="127" t="s">
        <v>14</v>
      </c>
      <c r="J6" s="129">
        <v>45775.0</v>
      </c>
      <c r="K6" s="7" t="s">
        <v>294</v>
      </c>
      <c r="L6" s="128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0" customHeight="1">
      <c r="A7" s="7">
        <v>5.0</v>
      </c>
      <c r="B7" s="8">
        <v>9.08402208E8</v>
      </c>
      <c r="C7" s="29" t="s">
        <v>111</v>
      </c>
      <c r="D7" s="122">
        <v>2.6885055E7</v>
      </c>
      <c r="E7" s="123">
        <v>9.0</v>
      </c>
      <c r="F7" s="124">
        <v>4.0</v>
      </c>
      <c r="G7" s="125">
        <f t="shared" si="1"/>
        <v>5</v>
      </c>
      <c r="H7" s="126">
        <v>45736.0</v>
      </c>
      <c r="I7" s="127" t="s">
        <v>14</v>
      </c>
      <c r="J7" s="129">
        <v>45775.0</v>
      </c>
      <c r="K7" s="7" t="s">
        <v>294</v>
      </c>
      <c r="L7" s="128"/>
    </row>
    <row r="8" ht="39.0" customHeight="1">
      <c r="A8" s="7">
        <v>6.0</v>
      </c>
      <c r="B8" s="8">
        <v>9.08371001E8</v>
      </c>
      <c r="C8" s="29" t="s">
        <v>668</v>
      </c>
      <c r="D8" s="122">
        <v>2.6885055E7</v>
      </c>
      <c r="E8" s="123">
        <v>3.0</v>
      </c>
      <c r="F8" s="124">
        <v>3.0</v>
      </c>
      <c r="G8" s="125">
        <f t="shared" si="1"/>
        <v>0</v>
      </c>
      <c r="H8" s="126">
        <v>45736.0</v>
      </c>
      <c r="I8" s="127" t="s">
        <v>14</v>
      </c>
      <c r="J8" s="126">
        <v>45776.0</v>
      </c>
      <c r="K8" s="7" t="s">
        <v>294</v>
      </c>
      <c r="L8" s="128"/>
    </row>
    <row r="9" ht="39.0" customHeight="1">
      <c r="A9" s="7">
        <v>7.0</v>
      </c>
      <c r="B9" s="8">
        <v>9.08371012E8</v>
      </c>
      <c r="C9" s="29" t="s">
        <v>669</v>
      </c>
      <c r="D9" s="122">
        <v>2.6885055E7</v>
      </c>
      <c r="E9" s="123">
        <v>6.0</v>
      </c>
      <c r="F9" s="124">
        <f>4+2</f>
        <v>6</v>
      </c>
      <c r="G9" s="125">
        <f t="shared" si="1"/>
        <v>0</v>
      </c>
      <c r="H9" s="126">
        <v>45736.0</v>
      </c>
      <c r="I9" s="127" t="s">
        <v>14</v>
      </c>
      <c r="J9" s="129">
        <v>45775.0</v>
      </c>
      <c r="K9" s="7" t="s">
        <v>294</v>
      </c>
      <c r="L9" s="128"/>
    </row>
    <row r="10" ht="65.25" customHeight="1">
      <c r="A10" s="7">
        <v>8.0</v>
      </c>
      <c r="B10" s="8">
        <v>9.0820203E8</v>
      </c>
      <c r="C10" s="9" t="s">
        <v>454</v>
      </c>
      <c r="D10" s="122">
        <v>2.6885055E7</v>
      </c>
      <c r="E10" s="123">
        <v>46.0</v>
      </c>
      <c r="F10" s="124">
        <v>6.0</v>
      </c>
      <c r="G10" s="125">
        <f t="shared" si="1"/>
        <v>40</v>
      </c>
      <c r="H10" s="126">
        <v>45736.0</v>
      </c>
      <c r="I10" s="127" t="s">
        <v>14</v>
      </c>
      <c r="J10" s="148" t="s">
        <v>667</v>
      </c>
      <c r="K10" s="7" t="s">
        <v>294</v>
      </c>
      <c r="L10" s="128"/>
    </row>
    <row r="11" ht="39.0" customHeight="1">
      <c r="A11" s="7">
        <v>9.0</v>
      </c>
      <c r="B11" s="8">
        <v>9.08122011E8</v>
      </c>
      <c r="C11" s="9" t="s">
        <v>23</v>
      </c>
      <c r="D11" s="122">
        <v>2.6885055E7</v>
      </c>
      <c r="E11" s="123">
        <v>3.0</v>
      </c>
      <c r="F11" s="124">
        <v>3.0</v>
      </c>
      <c r="G11" s="125">
        <f t="shared" si="1"/>
        <v>0</v>
      </c>
      <c r="H11" s="126">
        <v>45736.0</v>
      </c>
      <c r="I11" s="127" t="s">
        <v>14</v>
      </c>
      <c r="J11" s="129">
        <v>45775.0</v>
      </c>
      <c r="K11" s="7" t="s">
        <v>294</v>
      </c>
      <c r="L11" s="128"/>
    </row>
    <row r="12" ht="52.5" customHeight="1">
      <c r="A12" s="7">
        <v>10.0</v>
      </c>
      <c r="B12" s="8">
        <v>9.08122003E8</v>
      </c>
      <c r="C12" s="9" t="s">
        <v>574</v>
      </c>
      <c r="D12" s="122">
        <v>2.6885055E7</v>
      </c>
      <c r="E12" s="123">
        <v>32.0</v>
      </c>
      <c r="F12" s="124">
        <f>16+16</f>
        <v>32</v>
      </c>
      <c r="G12" s="125">
        <f t="shared" si="1"/>
        <v>0</v>
      </c>
      <c r="H12" s="126">
        <v>45736.0</v>
      </c>
      <c r="I12" s="127" t="s">
        <v>14</v>
      </c>
      <c r="J12" s="148" t="s">
        <v>667</v>
      </c>
      <c r="K12" s="7" t="s">
        <v>294</v>
      </c>
      <c r="L12" s="17"/>
    </row>
    <row r="13" ht="64.5" customHeight="1">
      <c r="A13" s="7">
        <v>11.0</v>
      </c>
      <c r="B13" s="8">
        <v>9.0812201E8</v>
      </c>
      <c r="C13" s="29" t="s">
        <v>80</v>
      </c>
      <c r="D13" s="122">
        <v>2.6885055E7</v>
      </c>
      <c r="E13" s="123">
        <v>24.0</v>
      </c>
      <c r="F13" s="124">
        <f>8+16</f>
        <v>24</v>
      </c>
      <c r="G13" s="125">
        <f t="shared" si="1"/>
        <v>0</v>
      </c>
      <c r="H13" s="126">
        <v>45736.0</v>
      </c>
      <c r="I13" s="127" t="s">
        <v>14</v>
      </c>
      <c r="J13" s="148" t="s">
        <v>667</v>
      </c>
      <c r="K13" s="7" t="s">
        <v>294</v>
      </c>
      <c r="L13" s="17"/>
    </row>
    <row r="14" ht="39.0" customHeight="1">
      <c r="A14" s="7">
        <v>12.0</v>
      </c>
      <c r="B14" s="8">
        <v>9.08122008E8</v>
      </c>
      <c r="C14" s="29" t="s">
        <v>79</v>
      </c>
      <c r="D14" s="122">
        <v>2.6885055E7</v>
      </c>
      <c r="E14" s="123">
        <v>3.0</v>
      </c>
      <c r="F14" s="124">
        <v>3.0</v>
      </c>
      <c r="G14" s="125">
        <f t="shared" si="1"/>
        <v>0</v>
      </c>
      <c r="H14" s="126">
        <v>45736.0</v>
      </c>
      <c r="I14" s="127" t="s">
        <v>14</v>
      </c>
      <c r="J14" s="129">
        <v>45775.0</v>
      </c>
      <c r="K14" s="7" t="s">
        <v>294</v>
      </c>
      <c r="L14" s="17"/>
    </row>
    <row r="15" ht="39.0" customHeight="1">
      <c r="A15" s="7">
        <v>13.0</v>
      </c>
      <c r="B15" s="8">
        <v>9.08202189E8</v>
      </c>
      <c r="C15" s="9" t="s">
        <v>55</v>
      </c>
      <c r="D15" s="122">
        <v>2.6885055E7</v>
      </c>
      <c r="E15" s="123">
        <v>3.0</v>
      </c>
      <c r="F15" s="124">
        <v>3.0</v>
      </c>
      <c r="G15" s="125">
        <f t="shared" si="1"/>
        <v>0</v>
      </c>
      <c r="H15" s="126">
        <v>45736.0</v>
      </c>
      <c r="I15" s="127" t="s">
        <v>14</v>
      </c>
      <c r="J15" s="126">
        <v>45776.0</v>
      </c>
      <c r="K15" s="7" t="s">
        <v>294</v>
      </c>
      <c r="L15" s="17"/>
    </row>
    <row r="16" ht="42.75" customHeight="1">
      <c r="A16" s="7">
        <v>14.0</v>
      </c>
      <c r="B16" s="8">
        <v>9.08202054E8</v>
      </c>
      <c r="C16" s="9" t="s">
        <v>455</v>
      </c>
      <c r="D16" s="122">
        <v>2.6885055E7</v>
      </c>
      <c r="E16" s="123">
        <v>3.0</v>
      </c>
      <c r="F16" s="124">
        <v>3.0</v>
      </c>
      <c r="G16" s="125">
        <f t="shared" si="1"/>
        <v>0</v>
      </c>
      <c r="H16" s="126">
        <v>45736.0</v>
      </c>
      <c r="I16" s="127" t="s">
        <v>14</v>
      </c>
      <c r="J16" s="126">
        <v>45776.0</v>
      </c>
      <c r="K16" s="7" t="s">
        <v>294</v>
      </c>
      <c r="L16" s="17"/>
    </row>
    <row r="17" ht="42.75" customHeight="1">
      <c r="A17" s="7">
        <v>15.0</v>
      </c>
      <c r="B17" s="8">
        <v>9.08111101E8</v>
      </c>
      <c r="C17" s="9" t="s">
        <v>452</v>
      </c>
      <c r="D17" s="122">
        <v>2.6885055E7</v>
      </c>
      <c r="E17" s="123">
        <v>13.0</v>
      </c>
      <c r="F17" s="124">
        <v>2.0</v>
      </c>
      <c r="G17" s="125">
        <f t="shared" si="1"/>
        <v>11</v>
      </c>
      <c r="H17" s="126">
        <v>45736.0</v>
      </c>
      <c r="I17" s="127" t="s">
        <v>14</v>
      </c>
      <c r="J17" s="129">
        <v>45775.0</v>
      </c>
      <c r="K17" s="7" t="s">
        <v>294</v>
      </c>
      <c r="L17" s="17"/>
    </row>
    <row r="18" ht="38.25" customHeight="1">
      <c r="A18" s="7">
        <v>16.0</v>
      </c>
      <c r="B18" s="8">
        <v>9.08111005E8</v>
      </c>
      <c r="C18" s="9" t="s">
        <v>559</v>
      </c>
      <c r="D18" s="122">
        <v>2.6885055E7</v>
      </c>
      <c r="E18" s="123">
        <v>15.0</v>
      </c>
      <c r="F18" s="124">
        <f>10+5</f>
        <v>15</v>
      </c>
      <c r="G18" s="125">
        <f t="shared" si="1"/>
        <v>0</v>
      </c>
      <c r="H18" s="126">
        <v>45736.0</v>
      </c>
      <c r="I18" s="127" t="s">
        <v>14</v>
      </c>
      <c r="J18" s="129">
        <v>45775.0</v>
      </c>
      <c r="K18" s="7" t="s">
        <v>294</v>
      </c>
      <c r="L18" s="17"/>
    </row>
    <row r="19" ht="38.25" customHeight="1">
      <c r="A19" s="7">
        <v>17.0</v>
      </c>
      <c r="B19" s="8">
        <v>9.08111007E8</v>
      </c>
      <c r="C19" s="9" t="s">
        <v>670</v>
      </c>
      <c r="D19" s="122">
        <v>2.6885055E7</v>
      </c>
      <c r="E19" s="123">
        <v>65.0</v>
      </c>
      <c r="F19" s="124">
        <v>65.0</v>
      </c>
      <c r="G19" s="125">
        <f t="shared" si="1"/>
        <v>0</v>
      </c>
      <c r="H19" s="126">
        <v>45736.0</v>
      </c>
      <c r="I19" s="127" t="s">
        <v>14</v>
      </c>
      <c r="J19" s="127">
        <v>45745.0</v>
      </c>
      <c r="K19" s="127" t="s">
        <v>294</v>
      </c>
      <c r="L19" s="127" t="s">
        <v>665</v>
      </c>
    </row>
    <row r="21" ht="15.75" customHeight="1"/>
    <row r="22" ht="15.75" customHeight="1"/>
    <row r="23" ht="52.5" customHeight="1">
      <c r="A23" s="149" t="s">
        <v>571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27"/>
    </row>
    <row r="24" ht="45.0" customHeight="1">
      <c r="A24" s="118">
        <v>1.0</v>
      </c>
      <c r="B24" s="38">
        <v>9.08371013E8</v>
      </c>
      <c r="C24" s="118" t="s">
        <v>121</v>
      </c>
      <c r="D24" s="118">
        <v>6.0</v>
      </c>
      <c r="E24" s="17"/>
      <c r="F24" s="17"/>
      <c r="G24" s="17"/>
      <c r="H24" s="17"/>
      <c r="I24" s="17"/>
      <c r="J24" s="17"/>
      <c r="K24" s="17"/>
      <c r="L24" s="17"/>
    </row>
    <row r="25" ht="35.25" customHeight="1">
      <c r="A25" s="118">
        <v>2.0</v>
      </c>
      <c r="B25" s="38">
        <v>9.08371001E8</v>
      </c>
      <c r="C25" s="118" t="s">
        <v>671</v>
      </c>
      <c r="D25" s="118">
        <v>1.0</v>
      </c>
      <c r="E25" s="17"/>
      <c r="F25" s="17"/>
      <c r="G25" s="17"/>
      <c r="H25" s="17"/>
      <c r="I25" s="17"/>
      <c r="J25" s="17"/>
      <c r="K25" s="17"/>
      <c r="L25" s="17"/>
    </row>
    <row r="26" ht="35.25" customHeight="1">
      <c r="A26" s="118">
        <v>3.0</v>
      </c>
      <c r="B26" s="38">
        <v>9.08371014E8</v>
      </c>
      <c r="C26" s="118" t="s">
        <v>113</v>
      </c>
      <c r="D26" s="118">
        <v>1.0</v>
      </c>
      <c r="E26" s="17"/>
      <c r="F26" s="17"/>
      <c r="G26" s="17"/>
      <c r="H26" s="17"/>
      <c r="I26" s="17"/>
      <c r="J26" s="17"/>
      <c r="K26" s="17"/>
      <c r="L26" s="17"/>
    </row>
    <row r="27" ht="35.25" customHeight="1">
      <c r="A27" s="118">
        <v>4.0</v>
      </c>
      <c r="B27" s="38"/>
      <c r="C27" s="118" t="s">
        <v>525</v>
      </c>
      <c r="D27" s="118">
        <v>1.0</v>
      </c>
      <c r="E27" s="17"/>
      <c r="F27" s="17"/>
      <c r="G27" s="17"/>
      <c r="H27" s="17"/>
      <c r="I27" s="17"/>
      <c r="J27" s="17"/>
      <c r="K27" s="17"/>
      <c r="L27" s="17"/>
    </row>
    <row r="28" ht="46.5" customHeight="1">
      <c r="A28" s="118">
        <v>5.0</v>
      </c>
      <c r="B28" s="38">
        <v>9.08111005E8</v>
      </c>
      <c r="C28" s="118" t="s">
        <v>608</v>
      </c>
      <c r="D28" s="118" t="s">
        <v>672</v>
      </c>
      <c r="E28" s="17"/>
      <c r="F28" s="17"/>
      <c r="G28" s="17"/>
      <c r="H28" s="17"/>
      <c r="I28" s="17"/>
      <c r="J28" s="17"/>
      <c r="K28" s="17"/>
      <c r="L28" s="1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3:L23"/>
  </mergeCells>
  <printOptions/>
  <pageMargins bottom="0.75" footer="0.0" header="0.0" left="0.7" right="0.7" top="0.75"/>
  <pageSetup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673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9.08421006E8</v>
      </c>
      <c r="C3" s="9" t="s">
        <v>457</v>
      </c>
      <c r="D3" s="10">
        <v>2.6885499E7</v>
      </c>
      <c r="E3" s="7">
        <v>1.0</v>
      </c>
      <c r="F3" s="11">
        <v>1.0</v>
      </c>
      <c r="G3" s="12">
        <f t="shared" ref="G3:G13" si="1">E3-F3</f>
        <v>0</v>
      </c>
      <c r="H3" s="13">
        <v>45736.0</v>
      </c>
      <c r="I3" s="14" t="s">
        <v>14</v>
      </c>
      <c r="J3" s="15">
        <v>45761.0</v>
      </c>
      <c r="K3" s="7" t="s">
        <v>294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9.25" customHeight="1">
      <c r="A4" s="7">
        <v>2.0</v>
      </c>
      <c r="B4" s="8">
        <v>9.08501002E8</v>
      </c>
      <c r="C4" s="9" t="s">
        <v>458</v>
      </c>
      <c r="D4" s="10">
        <v>2.6885499E7</v>
      </c>
      <c r="E4" s="7">
        <v>3.0</v>
      </c>
      <c r="F4" s="11">
        <v>3.0</v>
      </c>
      <c r="G4" s="12">
        <f t="shared" si="1"/>
        <v>0</v>
      </c>
      <c r="H4" s="13">
        <v>45736.0</v>
      </c>
      <c r="I4" s="14" t="s">
        <v>14</v>
      </c>
      <c r="J4" s="15">
        <v>45761.0</v>
      </c>
      <c r="K4" s="7" t="s">
        <v>294</v>
      </c>
      <c r="L4" s="9"/>
    </row>
    <row r="5">
      <c r="A5" s="7">
        <v>3.0</v>
      </c>
      <c r="B5" s="8">
        <v>9.08375001E8</v>
      </c>
      <c r="C5" s="9" t="s">
        <v>459</v>
      </c>
      <c r="D5" s="10">
        <v>2.6885499E7</v>
      </c>
      <c r="E5" s="7">
        <v>1.0</v>
      </c>
      <c r="F5" s="11">
        <v>1.0</v>
      </c>
      <c r="G5" s="12">
        <f t="shared" si="1"/>
        <v>0</v>
      </c>
      <c r="H5" s="13">
        <v>45736.0</v>
      </c>
      <c r="I5" s="14" t="s">
        <v>14</v>
      </c>
      <c r="J5" s="15">
        <v>45761.0</v>
      </c>
      <c r="K5" s="7" t="s">
        <v>294</v>
      </c>
      <c r="L5" s="9"/>
    </row>
    <row r="6">
      <c r="A6" s="7">
        <v>4.0</v>
      </c>
      <c r="B6" s="8">
        <v>9.08202098E8</v>
      </c>
      <c r="C6" s="9" t="s">
        <v>453</v>
      </c>
      <c r="D6" s="10">
        <v>2.6885499E7</v>
      </c>
      <c r="E6" s="7">
        <v>1.0</v>
      </c>
      <c r="F6" s="11">
        <v>1.0</v>
      </c>
      <c r="G6" s="12">
        <f t="shared" si="1"/>
        <v>0</v>
      </c>
      <c r="H6" s="13">
        <v>45736.0</v>
      </c>
      <c r="I6" s="14" t="s">
        <v>14</v>
      </c>
      <c r="J6" s="15">
        <v>45761.0</v>
      </c>
      <c r="K6" s="7" t="s">
        <v>294</v>
      </c>
      <c r="L6" s="9"/>
    </row>
    <row r="7">
      <c r="A7" s="7">
        <v>5.0</v>
      </c>
      <c r="B7" s="8">
        <v>9.0820203E8</v>
      </c>
      <c r="C7" s="9" t="s">
        <v>454</v>
      </c>
      <c r="D7" s="10">
        <v>2.6885499E7</v>
      </c>
      <c r="E7" s="7">
        <v>17.0</v>
      </c>
      <c r="F7" s="11">
        <v>2.0</v>
      </c>
      <c r="G7" s="12">
        <f t="shared" si="1"/>
        <v>15</v>
      </c>
      <c r="H7" s="13">
        <v>45736.0</v>
      </c>
      <c r="I7" s="14" t="s">
        <v>14</v>
      </c>
      <c r="J7" s="15">
        <v>45761.0</v>
      </c>
      <c r="K7" s="7" t="s">
        <v>294</v>
      </c>
      <c r="L7" s="9"/>
    </row>
    <row r="8">
      <c r="A8" s="7">
        <v>6.0</v>
      </c>
      <c r="B8" s="8">
        <v>9.08122035E8</v>
      </c>
      <c r="C8" s="29" t="s">
        <v>235</v>
      </c>
      <c r="D8" s="10">
        <v>2.6885499E7</v>
      </c>
      <c r="E8" s="7">
        <v>4.0</v>
      </c>
      <c r="F8" s="11">
        <v>4.0</v>
      </c>
      <c r="G8" s="12">
        <f t="shared" si="1"/>
        <v>0</v>
      </c>
      <c r="H8" s="13">
        <v>45736.0</v>
      </c>
      <c r="I8" s="14" t="s">
        <v>14</v>
      </c>
      <c r="J8" s="15">
        <v>45761.0</v>
      </c>
      <c r="K8" s="7" t="s">
        <v>294</v>
      </c>
      <c r="L8" s="9"/>
    </row>
    <row r="9">
      <c r="A9" s="7">
        <v>7.0</v>
      </c>
      <c r="B9" s="8">
        <v>9.08122008E8</v>
      </c>
      <c r="C9" s="29" t="s">
        <v>79</v>
      </c>
      <c r="D9" s="10">
        <v>2.6885499E7</v>
      </c>
      <c r="E9" s="7">
        <v>4.0</v>
      </c>
      <c r="F9" s="11">
        <v>4.0</v>
      </c>
      <c r="G9" s="12">
        <f t="shared" si="1"/>
        <v>0</v>
      </c>
      <c r="H9" s="13">
        <v>45736.0</v>
      </c>
      <c r="I9" s="14" t="s">
        <v>14</v>
      </c>
      <c r="J9" s="15">
        <v>45761.0</v>
      </c>
      <c r="K9" s="7" t="s">
        <v>294</v>
      </c>
      <c r="L9" s="9"/>
    </row>
    <row r="10">
      <c r="A10" s="7">
        <v>8.0</v>
      </c>
      <c r="B10" s="8">
        <v>9.0812101E8</v>
      </c>
      <c r="C10" s="29" t="s">
        <v>450</v>
      </c>
      <c r="D10" s="10">
        <v>2.6885499E7</v>
      </c>
      <c r="E10" s="7">
        <v>1.0</v>
      </c>
      <c r="F10" s="11">
        <v>6.0</v>
      </c>
      <c r="G10" s="12">
        <f t="shared" si="1"/>
        <v>-5</v>
      </c>
      <c r="H10" s="13">
        <v>45736.0</v>
      </c>
      <c r="I10" s="14" t="s">
        <v>14</v>
      </c>
      <c r="J10" s="15">
        <v>45761.0</v>
      </c>
      <c r="K10" s="7" t="s">
        <v>294</v>
      </c>
      <c r="L10" s="9"/>
    </row>
    <row r="11">
      <c r="A11" s="7">
        <v>9.0</v>
      </c>
      <c r="B11" s="8">
        <v>9.08202054E8</v>
      </c>
      <c r="C11" s="9" t="s">
        <v>455</v>
      </c>
      <c r="D11" s="10">
        <v>2.6885499E7</v>
      </c>
      <c r="E11" s="7">
        <v>1.0</v>
      </c>
      <c r="F11" s="11">
        <v>1.0</v>
      </c>
      <c r="G11" s="12">
        <f t="shared" si="1"/>
        <v>0</v>
      </c>
      <c r="H11" s="13">
        <v>45736.0</v>
      </c>
      <c r="I11" s="14" t="s">
        <v>14</v>
      </c>
      <c r="J11" s="15">
        <v>45761.0</v>
      </c>
      <c r="K11" s="7" t="s">
        <v>294</v>
      </c>
      <c r="L11" s="9"/>
    </row>
    <row r="12">
      <c r="A12" s="7">
        <v>10.0</v>
      </c>
      <c r="B12" s="8">
        <v>9.08111101E8</v>
      </c>
      <c r="C12" s="9" t="s">
        <v>452</v>
      </c>
      <c r="D12" s="10">
        <v>2.6885499E7</v>
      </c>
      <c r="E12" s="7">
        <v>5.0</v>
      </c>
      <c r="F12" s="11">
        <v>2.0</v>
      </c>
      <c r="G12" s="12">
        <f t="shared" si="1"/>
        <v>3</v>
      </c>
      <c r="H12" s="13">
        <v>45736.0</v>
      </c>
      <c r="I12" s="14" t="s">
        <v>14</v>
      </c>
      <c r="J12" s="15">
        <v>45761.0</v>
      </c>
      <c r="K12" s="7" t="s">
        <v>294</v>
      </c>
      <c r="L12" s="9"/>
    </row>
    <row r="13">
      <c r="A13" s="7">
        <v>11.0</v>
      </c>
      <c r="B13" s="8">
        <v>9.08111007E8</v>
      </c>
      <c r="C13" s="9" t="s">
        <v>451</v>
      </c>
      <c r="D13" s="10">
        <v>2.6885499E7</v>
      </c>
      <c r="E13" s="7">
        <v>10.0</v>
      </c>
      <c r="F13" s="11">
        <v>10.0</v>
      </c>
      <c r="G13" s="12">
        <f t="shared" si="1"/>
        <v>0</v>
      </c>
      <c r="H13" s="13">
        <v>45736.0</v>
      </c>
      <c r="I13" s="14" t="s">
        <v>14</v>
      </c>
      <c r="J13" s="15">
        <v>45761.0</v>
      </c>
      <c r="K13" s="7" t="s">
        <v>294</v>
      </c>
      <c r="L13" s="9"/>
    </row>
    <row r="16" ht="42.0" customHeight="1">
      <c r="C16" s="150" t="s">
        <v>571</v>
      </c>
      <c r="D16" s="133"/>
      <c r="E16" s="133"/>
      <c r="F16" s="133"/>
      <c r="G16" s="133"/>
      <c r="H16" s="133"/>
      <c r="I16" s="27"/>
    </row>
    <row r="17" ht="58.5" customHeight="1">
      <c r="C17" s="150" t="s">
        <v>674</v>
      </c>
      <c r="D17" s="133"/>
      <c r="E17" s="133"/>
      <c r="F17" s="133"/>
      <c r="G17" s="133"/>
      <c r="H17" s="133"/>
      <c r="I17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H26" s="18" t="s">
        <v>341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C16:I16"/>
    <mergeCell ref="C17:I17"/>
  </mergeCells>
  <printOptions/>
  <pageMargins bottom="0.75" footer="0.0" header="0.0" left="0.7" right="0.7" top="0.75"/>
  <pageSetup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9.0812101E8</v>
      </c>
      <c r="C3" s="9" t="s">
        <v>549</v>
      </c>
      <c r="D3" s="10">
        <v>2.6920415E7</v>
      </c>
      <c r="E3" s="7">
        <v>2.0</v>
      </c>
      <c r="F3" s="11">
        <v>2.0</v>
      </c>
      <c r="G3" s="12">
        <f t="shared" ref="G3:G17" si="1">E3-F3</f>
        <v>0</v>
      </c>
      <c r="H3" s="13">
        <v>45754.0</v>
      </c>
      <c r="I3" s="14" t="s">
        <v>14</v>
      </c>
      <c r="J3" s="15">
        <v>45770.0</v>
      </c>
      <c r="K3" s="7" t="s">
        <v>676</v>
      </c>
      <c r="L3" s="20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9.25" customHeight="1">
      <c r="A4" s="7">
        <v>2.0</v>
      </c>
      <c r="B4" s="8">
        <v>9.08122011E8</v>
      </c>
      <c r="C4" s="9" t="s">
        <v>677</v>
      </c>
      <c r="D4" s="10">
        <v>2.6920415E7</v>
      </c>
      <c r="E4" s="7">
        <v>6.0</v>
      </c>
      <c r="F4" s="11">
        <v>6.0</v>
      </c>
      <c r="G4" s="12">
        <f t="shared" si="1"/>
        <v>0</v>
      </c>
      <c r="H4" s="13">
        <v>45754.0</v>
      </c>
      <c r="I4" s="14" t="s">
        <v>14</v>
      </c>
      <c r="J4" s="15">
        <v>45770.0</v>
      </c>
      <c r="K4" s="7" t="s">
        <v>676</v>
      </c>
      <c r="L4" s="9"/>
    </row>
    <row r="5">
      <c r="A5" s="7">
        <v>3.0</v>
      </c>
      <c r="B5" s="8">
        <v>9.08111007E8</v>
      </c>
      <c r="C5" s="9" t="s">
        <v>451</v>
      </c>
      <c r="D5" s="10">
        <v>2.6920415E7</v>
      </c>
      <c r="E5" s="7">
        <v>45.0</v>
      </c>
      <c r="F5" s="11">
        <f>45+3</f>
        <v>48</v>
      </c>
      <c r="G5" s="12">
        <f t="shared" si="1"/>
        <v>-3</v>
      </c>
      <c r="H5" s="13">
        <v>45754.0</v>
      </c>
      <c r="I5" s="14" t="s">
        <v>14</v>
      </c>
      <c r="J5" s="15">
        <v>45760.0</v>
      </c>
      <c r="K5" s="7" t="s">
        <v>435</v>
      </c>
      <c r="L5" s="9" t="s">
        <v>678</v>
      </c>
    </row>
    <row r="6">
      <c r="A6" s="7">
        <v>4.0</v>
      </c>
      <c r="B6" s="8">
        <v>9.08372001E8</v>
      </c>
      <c r="C6" s="9" t="s">
        <v>595</v>
      </c>
      <c r="D6" s="10">
        <v>2.6920415E7</v>
      </c>
      <c r="E6" s="7">
        <v>2.0</v>
      </c>
      <c r="F6" s="11">
        <v>2.0</v>
      </c>
      <c r="G6" s="12">
        <f t="shared" si="1"/>
        <v>0</v>
      </c>
      <c r="H6" s="13">
        <v>45754.0</v>
      </c>
      <c r="I6" s="14" t="s">
        <v>14</v>
      </c>
      <c r="J6" s="15">
        <v>45770.0</v>
      </c>
      <c r="K6" s="7" t="s">
        <v>676</v>
      </c>
      <c r="L6" s="9"/>
    </row>
    <row r="7">
      <c r="A7" s="7">
        <v>5.0</v>
      </c>
      <c r="B7" s="8">
        <v>9.08421003E8</v>
      </c>
      <c r="C7" s="9" t="s">
        <v>679</v>
      </c>
      <c r="D7" s="10">
        <v>2.7021581E7</v>
      </c>
      <c r="E7" s="7">
        <v>1.0</v>
      </c>
      <c r="F7" s="11">
        <v>1.0</v>
      </c>
      <c r="G7" s="12">
        <f t="shared" si="1"/>
        <v>0</v>
      </c>
      <c r="H7" s="13">
        <v>45770.0</v>
      </c>
      <c r="I7" s="14" t="s">
        <v>14</v>
      </c>
      <c r="J7" s="15">
        <v>45770.0</v>
      </c>
      <c r="K7" s="7" t="s">
        <v>676</v>
      </c>
      <c r="L7" s="9"/>
    </row>
    <row r="8">
      <c r="A8" s="7">
        <v>6.0</v>
      </c>
      <c r="B8" s="8">
        <v>9.08442208E8</v>
      </c>
      <c r="C8" s="9" t="s">
        <v>531</v>
      </c>
      <c r="D8" s="10">
        <v>2.7021581E7</v>
      </c>
      <c r="E8" s="7">
        <v>4.0</v>
      </c>
      <c r="F8" s="11">
        <v>4.0</v>
      </c>
      <c r="G8" s="12">
        <f t="shared" si="1"/>
        <v>0</v>
      </c>
      <c r="H8" s="13">
        <v>45770.0</v>
      </c>
      <c r="I8" s="14" t="s">
        <v>14</v>
      </c>
      <c r="J8" s="15">
        <v>45770.0</v>
      </c>
      <c r="K8" s="7" t="s">
        <v>676</v>
      </c>
      <c r="L8" s="9"/>
    </row>
    <row r="9">
      <c r="A9" s="7">
        <v>7.0</v>
      </c>
      <c r="B9" s="8">
        <v>9.08371014E8</v>
      </c>
      <c r="C9" s="9" t="s">
        <v>113</v>
      </c>
      <c r="D9" s="10">
        <v>2.7021581E7</v>
      </c>
      <c r="E9" s="7">
        <v>4.0</v>
      </c>
      <c r="F9" s="11">
        <v>4.0</v>
      </c>
      <c r="G9" s="12">
        <f t="shared" si="1"/>
        <v>0</v>
      </c>
      <c r="H9" s="13">
        <v>45770.0</v>
      </c>
      <c r="I9" s="14" t="s">
        <v>14</v>
      </c>
      <c r="J9" s="15">
        <v>45770.0</v>
      </c>
      <c r="K9" s="7" t="s">
        <v>676</v>
      </c>
      <c r="L9" s="9"/>
    </row>
    <row r="10">
      <c r="A10" s="7">
        <v>8.0</v>
      </c>
      <c r="B10" s="8">
        <v>9.08375E8</v>
      </c>
      <c r="C10" s="9" t="s">
        <v>448</v>
      </c>
      <c r="D10" s="10">
        <v>2.7021581E7</v>
      </c>
      <c r="E10" s="7">
        <v>5.0</v>
      </c>
      <c r="F10" s="11">
        <v>6.0</v>
      </c>
      <c r="G10" s="12">
        <f t="shared" si="1"/>
        <v>-1</v>
      </c>
      <c r="H10" s="13">
        <v>45770.0</v>
      </c>
      <c r="I10" s="14" t="s">
        <v>14</v>
      </c>
      <c r="J10" s="15"/>
      <c r="K10" s="7"/>
      <c r="L10" s="9"/>
    </row>
    <row r="11">
      <c r="A11" s="7">
        <v>9.0</v>
      </c>
      <c r="B11" s="8">
        <v>9.08202098E8</v>
      </c>
      <c r="C11" s="9" t="s">
        <v>453</v>
      </c>
      <c r="D11" s="10">
        <v>2.7021581E7</v>
      </c>
      <c r="E11" s="7">
        <v>1.0</v>
      </c>
      <c r="F11" s="11">
        <v>3.0</v>
      </c>
      <c r="G11" s="12">
        <f t="shared" si="1"/>
        <v>-2</v>
      </c>
      <c r="H11" s="13">
        <v>45770.0</v>
      </c>
      <c r="I11" s="14" t="s">
        <v>14</v>
      </c>
      <c r="J11" s="15">
        <v>45770.0</v>
      </c>
      <c r="K11" s="7" t="s">
        <v>676</v>
      </c>
      <c r="L11" s="9"/>
    </row>
    <row r="12">
      <c r="A12" s="7">
        <v>10.0</v>
      </c>
      <c r="B12" s="8">
        <v>9.0820203E8</v>
      </c>
      <c r="C12" s="9" t="s">
        <v>454</v>
      </c>
      <c r="D12" s="10">
        <v>2.7021581E7</v>
      </c>
      <c r="E12" s="7">
        <v>21.0</v>
      </c>
      <c r="F12" s="11">
        <v>5.0</v>
      </c>
      <c r="G12" s="12">
        <f t="shared" si="1"/>
        <v>16</v>
      </c>
      <c r="H12" s="13">
        <v>45770.0</v>
      </c>
      <c r="I12" s="14" t="s">
        <v>14</v>
      </c>
      <c r="J12" s="15">
        <v>45770.0</v>
      </c>
      <c r="K12" s="7" t="s">
        <v>676</v>
      </c>
      <c r="L12" s="9"/>
    </row>
    <row r="13">
      <c r="A13" s="7">
        <v>11.0</v>
      </c>
      <c r="B13" s="8">
        <v>9.08122008E8</v>
      </c>
      <c r="C13" s="29" t="s">
        <v>79</v>
      </c>
      <c r="D13" s="10">
        <v>2.7021581E7</v>
      </c>
      <c r="E13" s="7">
        <v>34.0</v>
      </c>
      <c r="F13" s="11">
        <v>34.0</v>
      </c>
      <c r="G13" s="12">
        <f t="shared" si="1"/>
        <v>0</v>
      </c>
      <c r="H13" s="13">
        <v>45770.0</v>
      </c>
      <c r="I13" s="14" t="s">
        <v>14</v>
      </c>
      <c r="J13" s="15">
        <v>45770.0</v>
      </c>
      <c r="K13" s="7" t="s">
        <v>676</v>
      </c>
      <c r="L13" s="9"/>
    </row>
    <row r="14">
      <c r="A14" s="7">
        <v>12.0</v>
      </c>
      <c r="B14" s="8">
        <v>9.08122003E8</v>
      </c>
      <c r="C14" s="9" t="s">
        <v>574</v>
      </c>
      <c r="D14" s="10">
        <v>2.7021581E7</v>
      </c>
      <c r="E14" s="7">
        <v>16.0</v>
      </c>
      <c r="F14" s="11">
        <v>16.0</v>
      </c>
      <c r="G14" s="12">
        <f t="shared" si="1"/>
        <v>0</v>
      </c>
      <c r="H14" s="13">
        <v>45770.0</v>
      </c>
      <c r="I14" s="14" t="s">
        <v>14</v>
      </c>
      <c r="J14" s="15">
        <v>45770.0</v>
      </c>
      <c r="K14" s="7" t="s">
        <v>676</v>
      </c>
      <c r="L14" s="9"/>
    </row>
    <row r="15" ht="25.5" customHeight="1">
      <c r="A15" s="7">
        <v>13.0</v>
      </c>
      <c r="B15" s="8">
        <v>9.08202054E8</v>
      </c>
      <c r="C15" s="9" t="s">
        <v>455</v>
      </c>
      <c r="D15" s="10">
        <v>2.7021581E7</v>
      </c>
      <c r="E15" s="7">
        <v>1.0</v>
      </c>
      <c r="F15" s="11">
        <v>1.0</v>
      </c>
      <c r="G15" s="12">
        <f t="shared" si="1"/>
        <v>0</v>
      </c>
      <c r="H15" s="13">
        <v>45770.0</v>
      </c>
      <c r="I15" s="14" t="s">
        <v>14</v>
      </c>
      <c r="J15" s="15">
        <v>45770.0</v>
      </c>
      <c r="K15" s="7" t="s">
        <v>676</v>
      </c>
      <c r="L15" s="9"/>
    </row>
    <row r="16">
      <c r="A16" s="7">
        <v>14.0</v>
      </c>
      <c r="B16" s="8">
        <v>9.08111101E8</v>
      </c>
      <c r="C16" s="9" t="s">
        <v>452</v>
      </c>
      <c r="D16" s="10">
        <v>2.7021581E7</v>
      </c>
      <c r="E16" s="7">
        <v>5.0</v>
      </c>
      <c r="F16" s="11">
        <v>5.0</v>
      </c>
      <c r="G16" s="12">
        <f t="shared" si="1"/>
        <v>0</v>
      </c>
      <c r="H16" s="13">
        <v>45770.0</v>
      </c>
      <c r="I16" s="14" t="s">
        <v>14</v>
      </c>
      <c r="J16" s="15">
        <v>45770.0</v>
      </c>
      <c r="K16" s="7" t="s">
        <v>676</v>
      </c>
      <c r="L16" s="9"/>
    </row>
    <row r="17" ht="42.0" customHeight="1">
      <c r="A17" s="7">
        <v>14.0</v>
      </c>
      <c r="B17" s="8">
        <v>9.0811101E8</v>
      </c>
      <c r="C17" s="9" t="s">
        <v>680</v>
      </c>
      <c r="D17" s="10"/>
      <c r="E17" s="7"/>
      <c r="F17" s="11">
        <v>5.0</v>
      </c>
      <c r="G17" s="12">
        <f t="shared" si="1"/>
        <v>-5</v>
      </c>
      <c r="H17" s="13">
        <v>45770.0</v>
      </c>
      <c r="I17" s="14" t="s">
        <v>14</v>
      </c>
      <c r="J17" s="15">
        <v>45770.0</v>
      </c>
      <c r="K17" s="7" t="s">
        <v>435</v>
      </c>
      <c r="L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8">
        <v>9.08111005E8</v>
      </c>
      <c r="C3" s="9" t="s">
        <v>608</v>
      </c>
      <c r="D3" s="10">
        <v>2.6885071E7</v>
      </c>
      <c r="E3" s="7">
        <f>6+6</f>
        <v>12</v>
      </c>
      <c r="F3" s="11">
        <v>6.0</v>
      </c>
      <c r="G3" s="12">
        <f t="shared" ref="G3:G6" si="1">E3-F3</f>
        <v>6</v>
      </c>
      <c r="H3" s="13">
        <v>45736.0</v>
      </c>
      <c r="I3" s="14" t="s">
        <v>14</v>
      </c>
      <c r="J3" s="30">
        <v>45755.0</v>
      </c>
      <c r="K3" s="7" t="s">
        <v>294</v>
      </c>
      <c r="L3" s="9"/>
    </row>
    <row r="4">
      <c r="A4" s="7">
        <v>2.0</v>
      </c>
      <c r="B4" s="8">
        <v>9.08121001E8</v>
      </c>
      <c r="C4" s="9" t="s">
        <v>682</v>
      </c>
      <c r="D4" s="10">
        <v>2.6885071E7</v>
      </c>
      <c r="E4" s="7">
        <f>1+1</f>
        <v>2</v>
      </c>
      <c r="F4" s="11">
        <v>2.0</v>
      </c>
      <c r="G4" s="12">
        <f t="shared" si="1"/>
        <v>0</v>
      </c>
      <c r="H4" s="13" t="s">
        <v>683</v>
      </c>
      <c r="I4" s="14" t="s">
        <v>14</v>
      </c>
      <c r="J4" s="30">
        <v>45755.0</v>
      </c>
      <c r="K4" s="7" t="s">
        <v>294</v>
      </c>
      <c r="L4" s="9"/>
    </row>
    <row r="5">
      <c r="A5" s="7">
        <v>3.0</v>
      </c>
      <c r="B5" s="8">
        <v>9.08111101E8</v>
      </c>
      <c r="C5" s="9" t="s">
        <v>452</v>
      </c>
      <c r="D5" s="10">
        <v>2.6885071E7</v>
      </c>
      <c r="E5" s="7">
        <v>4.0</v>
      </c>
      <c r="F5" s="11">
        <v>8.0</v>
      </c>
      <c r="G5" s="12">
        <f t="shared" si="1"/>
        <v>-4</v>
      </c>
      <c r="H5" s="13">
        <v>45736.0</v>
      </c>
      <c r="I5" s="14" t="s">
        <v>14</v>
      </c>
      <c r="J5" s="30">
        <v>45755.0</v>
      </c>
      <c r="K5" s="7" t="s">
        <v>294</v>
      </c>
      <c r="L5" s="9"/>
    </row>
    <row r="6">
      <c r="A6" s="7">
        <v>4.0</v>
      </c>
      <c r="B6" s="8">
        <v>9.0812201E8</v>
      </c>
      <c r="C6" s="9" t="s">
        <v>684</v>
      </c>
      <c r="D6" s="10">
        <v>2.6885071E7</v>
      </c>
      <c r="E6" s="7">
        <v>8.0</v>
      </c>
      <c r="F6" s="11">
        <v>8.0</v>
      </c>
      <c r="G6" s="12">
        <f t="shared" si="1"/>
        <v>0</v>
      </c>
      <c r="H6" s="13">
        <v>45754.0</v>
      </c>
      <c r="I6" s="14" t="s">
        <v>14</v>
      </c>
      <c r="J6" s="30">
        <v>45755.0</v>
      </c>
      <c r="K6" s="7" t="s">
        <v>294</v>
      </c>
      <c r="L6" s="9"/>
    </row>
    <row r="8">
      <c r="F8" s="18" t="s">
        <v>685</v>
      </c>
    </row>
    <row r="10">
      <c r="F10" s="18">
        <v>6.0</v>
      </c>
    </row>
    <row r="18">
      <c r="H18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686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2.6897376E7</v>
      </c>
      <c r="E3" s="7">
        <v>1.0</v>
      </c>
      <c r="F3" s="11"/>
      <c r="G3" s="12">
        <f t="shared" ref="G3:G21" si="1">E3-F3</f>
        <v>1</v>
      </c>
      <c r="H3" s="13">
        <v>45739.0</v>
      </c>
      <c r="I3" s="14" t="s">
        <v>14</v>
      </c>
      <c r="J3" s="15"/>
      <c r="K3" s="7"/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2.6897376E7</v>
      </c>
      <c r="E4" s="7">
        <v>1.0</v>
      </c>
      <c r="F4" s="11">
        <v>1.0</v>
      </c>
      <c r="G4" s="12">
        <f t="shared" si="1"/>
        <v>0</v>
      </c>
      <c r="H4" s="13">
        <v>45739.0</v>
      </c>
      <c r="I4" s="14" t="s">
        <v>14</v>
      </c>
      <c r="J4" s="15">
        <v>45760.0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2.6897376E7</v>
      </c>
      <c r="E5" s="7">
        <v>2.0</v>
      </c>
      <c r="F5" s="11">
        <v>1.0</v>
      </c>
      <c r="G5" s="12">
        <f t="shared" si="1"/>
        <v>1</v>
      </c>
      <c r="H5" s="13">
        <v>45739.0</v>
      </c>
      <c r="I5" s="14" t="s">
        <v>14</v>
      </c>
      <c r="J5" s="15">
        <v>45760.0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2.6897376E7</v>
      </c>
      <c r="E6" s="7">
        <v>2.0</v>
      </c>
      <c r="F6" s="11">
        <v>2.0</v>
      </c>
      <c r="G6" s="12">
        <f t="shared" si="1"/>
        <v>0</v>
      </c>
      <c r="H6" s="13">
        <v>45739.0</v>
      </c>
      <c r="I6" s="14" t="s">
        <v>14</v>
      </c>
      <c r="J6" s="15">
        <v>45760.0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0">
        <v>2.6897376E7</v>
      </c>
      <c r="E7" s="7">
        <v>2.0</v>
      </c>
      <c r="F7" s="11">
        <v>2.0</v>
      </c>
      <c r="G7" s="12">
        <f t="shared" si="1"/>
        <v>0</v>
      </c>
      <c r="H7" s="13">
        <v>45739.0</v>
      </c>
      <c r="I7" s="14" t="s">
        <v>14</v>
      </c>
      <c r="J7" s="15">
        <v>45760.0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2.6897376E7</v>
      </c>
      <c r="E8" s="7">
        <v>2.0</v>
      </c>
      <c r="F8" s="11">
        <v>2.0</v>
      </c>
      <c r="G8" s="12">
        <f t="shared" si="1"/>
        <v>0</v>
      </c>
      <c r="H8" s="13">
        <v>45739.0</v>
      </c>
      <c r="I8" s="14" t="s">
        <v>14</v>
      </c>
      <c r="J8" s="15">
        <v>45760.0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2.6897376E7</v>
      </c>
      <c r="E9" s="7">
        <v>1.0</v>
      </c>
      <c r="F9" s="11">
        <v>1.0</v>
      </c>
      <c r="G9" s="12">
        <f t="shared" si="1"/>
        <v>0</v>
      </c>
      <c r="H9" s="13">
        <v>45739.0</v>
      </c>
      <c r="I9" s="14" t="s">
        <v>14</v>
      </c>
      <c r="J9" s="15">
        <v>45760.0</v>
      </c>
      <c r="K9" s="7" t="s">
        <v>294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2.6897376E7</v>
      </c>
      <c r="E10" s="7">
        <v>3.0</v>
      </c>
      <c r="F10" s="11">
        <v>6.0</v>
      </c>
      <c r="G10" s="12">
        <f t="shared" si="1"/>
        <v>-3</v>
      </c>
      <c r="H10" s="13">
        <v>45739.0</v>
      </c>
      <c r="I10" s="14" t="s">
        <v>14</v>
      </c>
      <c r="J10" s="15"/>
      <c r="K10" s="7"/>
      <c r="L10" s="9"/>
    </row>
    <row r="11">
      <c r="A11" s="7">
        <v>9.0</v>
      </c>
      <c r="B11" s="8">
        <v>9.08111007E8</v>
      </c>
      <c r="C11" s="9" t="s">
        <v>451</v>
      </c>
      <c r="D11" s="10">
        <v>2.6897376E7</v>
      </c>
      <c r="E11" s="7">
        <v>180.0</v>
      </c>
      <c r="F11" s="11">
        <v>180.0</v>
      </c>
      <c r="G11" s="12">
        <f t="shared" si="1"/>
        <v>0</v>
      </c>
      <c r="H11" s="13">
        <v>45739.0</v>
      </c>
      <c r="I11" s="14" t="s">
        <v>14</v>
      </c>
      <c r="J11" s="15">
        <v>45760.0</v>
      </c>
      <c r="K11" s="7" t="s">
        <v>294</v>
      </c>
      <c r="L11" s="9"/>
    </row>
    <row r="12">
      <c r="A12" s="7">
        <v>10.0</v>
      </c>
      <c r="B12" s="8">
        <v>9.08111005E8</v>
      </c>
      <c r="C12" s="9" t="s">
        <v>608</v>
      </c>
      <c r="D12" s="10">
        <v>2.6897376E7</v>
      </c>
      <c r="E12" s="7">
        <v>5.0</v>
      </c>
      <c r="F12" s="11">
        <v>5.0</v>
      </c>
      <c r="G12" s="12">
        <f t="shared" si="1"/>
        <v>0</v>
      </c>
      <c r="H12" s="13">
        <v>45739.0</v>
      </c>
      <c r="I12" s="14" t="s">
        <v>14</v>
      </c>
      <c r="J12" s="15">
        <v>45760.0</v>
      </c>
      <c r="K12" s="7" t="s">
        <v>294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2.6897376E7</v>
      </c>
      <c r="E13" s="7">
        <v>6.0</v>
      </c>
      <c r="F13" s="11">
        <v>6.0</v>
      </c>
      <c r="G13" s="12">
        <f t="shared" si="1"/>
        <v>0</v>
      </c>
      <c r="H13" s="13">
        <v>45739.0</v>
      </c>
      <c r="I13" s="14" t="s">
        <v>14</v>
      </c>
      <c r="J13" s="15">
        <v>45760.0</v>
      </c>
      <c r="K13" s="7" t="s">
        <v>294</v>
      </c>
      <c r="L13" s="9"/>
    </row>
    <row r="14">
      <c r="A14" s="7">
        <v>12.0</v>
      </c>
      <c r="B14" s="8">
        <v>9.08421001E8</v>
      </c>
      <c r="C14" s="9" t="s">
        <v>687</v>
      </c>
      <c r="D14" s="10">
        <v>2.7047859E7</v>
      </c>
      <c r="E14" s="7">
        <v>1.0</v>
      </c>
      <c r="F14" s="11">
        <v>1.0</v>
      </c>
      <c r="G14" s="12">
        <f t="shared" si="1"/>
        <v>0</v>
      </c>
      <c r="H14" s="13">
        <v>45776.0</v>
      </c>
      <c r="I14" s="14" t="s">
        <v>14</v>
      </c>
      <c r="J14" s="15">
        <v>45776.0</v>
      </c>
      <c r="K14" s="7" t="s">
        <v>294</v>
      </c>
      <c r="L14" s="9"/>
    </row>
    <row r="15">
      <c r="A15" s="7">
        <v>13.0</v>
      </c>
      <c r="B15" s="8">
        <v>9.08442208E8</v>
      </c>
      <c r="C15" s="9" t="s">
        <v>531</v>
      </c>
      <c r="D15" s="10">
        <v>2.7047859E7</v>
      </c>
      <c r="E15" s="7">
        <v>1.0</v>
      </c>
      <c r="F15" s="11">
        <v>1.0</v>
      </c>
      <c r="G15" s="12">
        <f t="shared" si="1"/>
        <v>0</v>
      </c>
      <c r="H15" s="13">
        <v>45776.0</v>
      </c>
      <c r="I15" s="14" t="s">
        <v>14</v>
      </c>
      <c r="J15" s="15">
        <v>45776.0</v>
      </c>
      <c r="K15" s="7" t="s">
        <v>294</v>
      </c>
      <c r="L15" s="9"/>
    </row>
    <row r="16">
      <c r="A16" s="7">
        <v>14.0</v>
      </c>
      <c r="B16" s="8">
        <v>9.08371014E8</v>
      </c>
      <c r="C16" s="9" t="s">
        <v>113</v>
      </c>
      <c r="D16" s="10">
        <v>2.7047859E7</v>
      </c>
      <c r="E16" s="7">
        <v>1.0</v>
      </c>
      <c r="F16" s="11">
        <v>1.0</v>
      </c>
      <c r="G16" s="12">
        <f t="shared" si="1"/>
        <v>0</v>
      </c>
      <c r="H16" s="13">
        <v>45776.0</v>
      </c>
      <c r="I16" s="14" t="s">
        <v>14</v>
      </c>
      <c r="J16" s="15">
        <v>45776.0</v>
      </c>
      <c r="K16" s="7" t="s">
        <v>294</v>
      </c>
      <c r="L16" s="9"/>
    </row>
    <row r="17">
      <c r="A17" s="7">
        <v>15.0</v>
      </c>
      <c r="B17" s="8">
        <v>9.08202189E8</v>
      </c>
      <c r="C17" s="9" t="s">
        <v>55</v>
      </c>
      <c r="D17" s="10">
        <v>2.7047859E7</v>
      </c>
      <c r="E17" s="7">
        <v>1.0</v>
      </c>
      <c r="F17" s="11">
        <v>1.0</v>
      </c>
      <c r="G17" s="12">
        <f t="shared" si="1"/>
        <v>0</v>
      </c>
      <c r="H17" s="13">
        <v>45776.0</v>
      </c>
      <c r="I17" s="14" t="s">
        <v>14</v>
      </c>
      <c r="J17" s="15">
        <v>45776.0</v>
      </c>
      <c r="K17" s="7" t="s">
        <v>294</v>
      </c>
      <c r="L17" s="9"/>
    </row>
    <row r="18">
      <c r="A18" s="7">
        <v>16.0</v>
      </c>
      <c r="B18" s="8">
        <v>9.0820203E8</v>
      </c>
      <c r="C18" s="9" t="s">
        <v>454</v>
      </c>
      <c r="D18" s="10"/>
      <c r="E18" s="7">
        <v>1.0</v>
      </c>
      <c r="F18" s="11">
        <v>1.0</v>
      </c>
      <c r="G18" s="12">
        <f t="shared" si="1"/>
        <v>0</v>
      </c>
      <c r="H18" s="13"/>
      <c r="I18" s="14" t="s">
        <v>14</v>
      </c>
      <c r="J18" s="15">
        <v>45776.0</v>
      </c>
      <c r="K18" s="7" t="s">
        <v>294</v>
      </c>
      <c r="L18" s="9"/>
    </row>
    <row r="19">
      <c r="A19" s="7">
        <v>17.0</v>
      </c>
      <c r="B19" s="8">
        <v>9.0812201E8</v>
      </c>
      <c r="C19" s="29" t="s">
        <v>80</v>
      </c>
      <c r="D19" s="10">
        <v>2.7047859E7</v>
      </c>
      <c r="E19" s="7">
        <v>4.0</v>
      </c>
      <c r="F19" s="11">
        <v>4.0</v>
      </c>
      <c r="G19" s="12">
        <f t="shared" si="1"/>
        <v>0</v>
      </c>
      <c r="H19" s="13">
        <v>45776.0</v>
      </c>
      <c r="I19" s="14" t="s">
        <v>14</v>
      </c>
      <c r="J19" s="15">
        <v>45776.0</v>
      </c>
      <c r="K19" s="7" t="s">
        <v>294</v>
      </c>
      <c r="L19" s="9"/>
    </row>
    <row r="20">
      <c r="A20" s="7">
        <v>18.0</v>
      </c>
      <c r="B20" s="8">
        <v>9.08202054E8</v>
      </c>
      <c r="C20" s="9" t="s">
        <v>455</v>
      </c>
      <c r="D20" s="10"/>
      <c r="E20" s="7">
        <v>1.0</v>
      </c>
      <c r="F20" s="11">
        <v>1.0</v>
      </c>
      <c r="G20" s="12">
        <f t="shared" si="1"/>
        <v>0</v>
      </c>
      <c r="H20" s="13"/>
      <c r="I20" s="14" t="s">
        <v>14</v>
      </c>
      <c r="J20" s="15">
        <v>45776.0</v>
      </c>
      <c r="K20" s="7" t="s">
        <v>294</v>
      </c>
      <c r="L20" s="9"/>
    </row>
    <row r="21" ht="15.75" customHeight="1">
      <c r="A21" s="7">
        <v>19.0</v>
      </c>
      <c r="B21" s="8">
        <v>9.08111101E8</v>
      </c>
      <c r="C21" s="9" t="s">
        <v>452</v>
      </c>
      <c r="D21" s="10"/>
      <c r="E21" s="7">
        <v>3.0</v>
      </c>
      <c r="F21" s="11">
        <v>2.0</v>
      </c>
      <c r="G21" s="12">
        <f t="shared" si="1"/>
        <v>1</v>
      </c>
      <c r="H21" s="13">
        <v>45776.0</v>
      </c>
      <c r="I21" s="14" t="s">
        <v>14</v>
      </c>
      <c r="J21" s="15">
        <v>45776.0</v>
      </c>
      <c r="K21" s="7" t="s">
        <v>294</v>
      </c>
      <c r="L21" s="9"/>
    </row>
    <row r="22" ht="15.75" customHeight="1">
      <c r="A22" s="7">
        <v>20.0</v>
      </c>
      <c r="B22" s="8">
        <v>9.08020201E8</v>
      </c>
      <c r="C22" s="9" t="s">
        <v>13</v>
      </c>
      <c r="D22" s="10">
        <v>2.7047859E7</v>
      </c>
      <c r="E22" s="7">
        <v>1.0</v>
      </c>
      <c r="F22" s="11"/>
      <c r="G22" s="12">
        <v>1.0</v>
      </c>
      <c r="H22" s="13">
        <v>45776.0</v>
      </c>
      <c r="I22" s="14" t="s">
        <v>14</v>
      </c>
      <c r="J22" s="15"/>
      <c r="K22" s="7"/>
      <c r="L22" s="9"/>
    </row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48">
        <v>9.08371013E8</v>
      </c>
      <c r="C3" s="7" t="s">
        <v>364</v>
      </c>
      <c r="D3" s="10">
        <v>2.6884791E7</v>
      </c>
      <c r="E3" s="7">
        <v>7.0</v>
      </c>
      <c r="F3" s="11">
        <v>7.0</v>
      </c>
      <c r="G3" s="12">
        <f>E3-F3</f>
        <v>0</v>
      </c>
      <c r="H3" s="13">
        <v>45736.0</v>
      </c>
      <c r="I3" s="14" t="s">
        <v>14</v>
      </c>
      <c r="J3" s="15">
        <v>45739.0</v>
      </c>
      <c r="K3" s="7" t="s">
        <v>676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10">
      <c r="F10" s="18">
        <v>6.0</v>
      </c>
    </row>
    <row r="16">
      <c r="H16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689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2.6874502E7</v>
      </c>
      <c r="E3" s="7">
        <v>1.0</v>
      </c>
      <c r="F3" s="11"/>
      <c r="G3" s="12">
        <f t="shared" ref="G3:G21" si="1">E3-F3</f>
        <v>1</v>
      </c>
      <c r="H3" s="13">
        <v>45732.0</v>
      </c>
      <c r="I3" s="14" t="s">
        <v>14</v>
      </c>
      <c r="J3" s="15"/>
      <c r="K3" s="7"/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2.6874502E7</v>
      </c>
      <c r="E4" s="7">
        <v>2.0</v>
      </c>
      <c r="F4" s="11">
        <v>2.0</v>
      </c>
      <c r="G4" s="12">
        <f t="shared" si="1"/>
        <v>0</v>
      </c>
      <c r="H4" s="13">
        <v>45732.0</v>
      </c>
      <c r="I4" s="14" t="s">
        <v>14</v>
      </c>
      <c r="J4" s="15">
        <v>45752.0</v>
      </c>
      <c r="K4" s="7" t="s">
        <v>676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2.6874502E7</v>
      </c>
      <c r="E5" s="7">
        <v>2.0</v>
      </c>
      <c r="F5" s="11">
        <f>1+1</f>
        <v>2</v>
      </c>
      <c r="G5" s="12">
        <f t="shared" si="1"/>
        <v>0</v>
      </c>
      <c r="H5" s="13">
        <v>45732.0</v>
      </c>
      <c r="I5" s="14" t="s">
        <v>14</v>
      </c>
      <c r="J5" s="30" t="s">
        <v>690</v>
      </c>
      <c r="K5" s="7" t="s">
        <v>676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2.6874502E7</v>
      </c>
      <c r="E6" s="7">
        <v>2.0</v>
      </c>
      <c r="F6" s="11">
        <v>2.0</v>
      </c>
      <c r="G6" s="12">
        <f t="shared" si="1"/>
        <v>0</v>
      </c>
      <c r="H6" s="13">
        <v>45732.0</v>
      </c>
      <c r="I6" s="14" t="s">
        <v>14</v>
      </c>
      <c r="J6" s="15">
        <v>45752.0</v>
      </c>
      <c r="K6" s="7" t="s">
        <v>676</v>
      </c>
      <c r="L6" s="20"/>
    </row>
    <row r="7">
      <c r="A7" s="7">
        <v>5.0</v>
      </c>
      <c r="B7" s="8">
        <v>9.0820203E8</v>
      </c>
      <c r="C7" s="9" t="s">
        <v>454</v>
      </c>
      <c r="D7" s="10">
        <v>2.6874502E7</v>
      </c>
      <c r="E7" s="7">
        <v>2.0</v>
      </c>
      <c r="F7" s="11">
        <v>2.0</v>
      </c>
      <c r="G7" s="12">
        <f t="shared" si="1"/>
        <v>0</v>
      </c>
      <c r="H7" s="13">
        <v>45732.0</v>
      </c>
      <c r="I7" s="14" t="s">
        <v>14</v>
      </c>
      <c r="J7" s="15">
        <v>45752.0</v>
      </c>
      <c r="K7" s="7" t="s">
        <v>676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2.6874502E7</v>
      </c>
      <c r="E8" s="7">
        <v>2.0</v>
      </c>
      <c r="F8" s="11">
        <v>2.0</v>
      </c>
      <c r="G8" s="12">
        <f t="shared" si="1"/>
        <v>0</v>
      </c>
      <c r="H8" s="13">
        <v>45732.0</v>
      </c>
      <c r="I8" s="14" t="s">
        <v>14</v>
      </c>
      <c r="J8" s="15">
        <v>45752.0</v>
      </c>
      <c r="K8" s="7" t="s">
        <v>676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2.6874502E7</v>
      </c>
      <c r="E9" s="7">
        <v>1.0</v>
      </c>
      <c r="F9" s="11">
        <v>1.0</v>
      </c>
      <c r="G9" s="12">
        <f t="shared" si="1"/>
        <v>0</v>
      </c>
      <c r="H9" s="13">
        <v>45732.0</v>
      </c>
      <c r="I9" s="14" t="s">
        <v>14</v>
      </c>
      <c r="J9" s="15">
        <v>45752.0</v>
      </c>
      <c r="K9" s="7" t="s">
        <v>676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2.6874502E7</v>
      </c>
      <c r="E10" s="7">
        <v>3.0</v>
      </c>
      <c r="F10" s="11">
        <v>6.0</v>
      </c>
      <c r="G10" s="12">
        <f t="shared" si="1"/>
        <v>-3</v>
      </c>
      <c r="H10" s="13">
        <v>45732.0</v>
      </c>
      <c r="I10" s="14" t="s">
        <v>14</v>
      </c>
      <c r="J10" s="15">
        <v>45754.0</v>
      </c>
      <c r="K10" s="7" t="s">
        <v>676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2.6874502E7</v>
      </c>
      <c r="E11" s="7">
        <v>170.0</v>
      </c>
      <c r="F11" s="11">
        <v>179.0</v>
      </c>
      <c r="G11" s="12">
        <f t="shared" si="1"/>
        <v>-9</v>
      </c>
      <c r="H11" s="13">
        <v>45739.0</v>
      </c>
      <c r="I11" s="14" t="s">
        <v>14</v>
      </c>
      <c r="J11" s="15">
        <v>45752.0</v>
      </c>
      <c r="K11" s="7" t="s">
        <v>676</v>
      </c>
      <c r="L11" s="9" t="s">
        <v>691</v>
      </c>
    </row>
    <row r="12">
      <c r="A12" s="7">
        <v>10.0</v>
      </c>
      <c r="B12" s="8">
        <v>9.08111005E8</v>
      </c>
      <c r="C12" s="9" t="s">
        <v>608</v>
      </c>
      <c r="D12" s="10">
        <v>2.6874502E7</v>
      </c>
      <c r="E12" s="7">
        <v>36.0</v>
      </c>
      <c r="F12" s="11">
        <v>42.0</v>
      </c>
      <c r="G12" s="12">
        <f t="shared" si="1"/>
        <v>-6</v>
      </c>
      <c r="H12" s="13">
        <v>45739.0</v>
      </c>
      <c r="I12" s="14" t="s">
        <v>14</v>
      </c>
      <c r="J12" s="30">
        <v>45750.0</v>
      </c>
      <c r="K12" s="7" t="s">
        <v>676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2.6874502E7</v>
      </c>
      <c r="E13" s="7">
        <v>6.0</v>
      </c>
      <c r="F13" s="11">
        <v>6.0</v>
      </c>
      <c r="G13" s="12">
        <f t="shared" si="1"/>
        <v>0</v>
      </c>
      <c r="H13" s="13">
        <v>45739.0</v>
      </c>
      <c r="I13" s="14" t="s">
        <v>14</v>
      </c>
      <c r="J13" s="15">
        <v>45752.0</v>
      </c>
      <c r="K13" s="7" t="s">
        <v>676</v>
      </c>
      <c r="L13" s="9"/>
    </row>
    <row r="14">
      <c r="A14" s="7">
        <v>12.0</v>
      </c>
      <c r="B14" s="8">
        <v>9.08421001E8</v>
      </c>
      <c r="C14" s="9" t="s">
        <v>687</v>
      </c>
      <c r="D14" s="10">
        <v>2.6973917E7</v>
      </c>
      <c r="E14" s="7">
        <v>2.0</v>
      </c>
      <c r="F14" s="11">
        <v>2.0</v>
      </c>
      <c r="G14" s="12">
        <f t="shared" si="1"/>
        <v>0</v>
      </c>
      <c r="H14" s="13">
        <v>45762.0</v>
      </c>
      <c r="I14" s="14" t="s">
        <v>14</v>
      </c>
      <c r="J14" s="30">
        <v>45759.0</v>
      </c>
      <c r="K14" s="7" t="s">
        <v>676</v>
      </c>
      <c r="L14" s="9"/>
    </row>
    <row r="15">
      <c r="A15" s="7">
        <v>13.0</v>
      </c>
      <c r="B15" s="8">
        <v>9.08442208E8</v>
      </c>
      <c r="C15" s="9" t="s">
        <v>531</v>
      </c>
      <c r="D15" s="10">
        <v>2.6973917E7</v>
      </c>
      <c r="E15" s="7">
        <v>2.0</v>
      </c>
      <c r="F15" s="11">
        <v>2.0</v>
      </c>
      <c r="G15" s="12">
        <f t="shared" si="1"/>
        <v>0</v>
      </c>
      <c r="H15" s="13">
        <v>45762.0</v>
      </c>
      <c r="I15" s="14" t="s">
        <v>14</v>
      </c>
      <c r="J15" s="30">
        <v>45759.0</v>
      </c>
      <c r="K15" s="7" t="s">
        <v>676</v>
      </c>
      <c r="L15" s="9"/>
    </row>
    <row r="16">
      <c r="A16" s="7">
        <v>14.0</v>
      </c>
      <c r="B16" s="8">
        <v>9.08371014E8</v>
      </c>
      <c r="C16" s="9" t="s">
        <v>113</v>
      </c>
      <c r="D16" s="10">
        <v>2.6973917E7</v>
      </c>
      <c r="E16" s="7">
        <v>2.0</v>
      </c>
      <c r="F16" s="11">
        <v>2.0</v>
      </c>
      <c r="G16" s="12">
        <f t="shared" si="1"/>
        <v>0</v>
      </c>
      <c r="H16" s="13">
        <v>45762.0</v>
      </c>
      <c r="I16" s="14" t="s">
        <v>14</v>
      </c>
      <c r="J16" s="30">
        <v>45759.0</v>
      </c>
      <c r="K16" s="7" t="s">
        <v>676</v>
      </c>
      <c r="L16" s="9"/>
    </row>
    <row r="17">
      <c r="A17" s="7">
        <v>15.0</v>
      </c>
      <c r="B17" s="8">
        <v>9.08202098E8</v>
      </c>
      <c r="C17" s="9" t="s">
        <v>453</v>
      </c>
      <c r="D17" s="10">
        <v>2.6973917E7</v>
      </c>
      <c r="E17" s="7">
        <v>2.0</v>
      </c>
      <c r="F17" s="11">
        <v>2.0</v>
      </c>
      <c r="G17" s="12">
        <f t="shared" si="1"/>
        <v>0</v>
      </c>
      <c r="H17" s="13">
        <v>45762.0</v>
      </c>
      <c r="I17" s="14" t="s">
        <v>14</v>
      </c>
      <c r="J17" s="30">
        <v>45759.0</v>
      </c>
      <c r="K17" s="7" t="s">
        <v>676</v>
      </c>
      <c r="L17" s="9"/>
    </row>
    <row r="18">
      <c r="A18" s="7">
        <v>16.0</v>
      </c>
      <c r="B18" s="8">
        <v>9.0820203E8</v>
      </c>
      <c r="C18" s="9" t="s">
        <v>454</v>
      </c>
      <c r="D18" s="10">
        <v>2.6973917E7</v>
      </c>
      <c r="E18" s="7">
        <v>10.0</v>
      </c>
      <c r="F18" s="11">
        <v>2.0</v>
      </c>
      <c r="G18" s="12">
        <f t="shared" si="1"/>
        <v>8</v>
      </c>
      <c r="H18" s="13">
        <v>45762.0</v>
      </c>
      <c r="I18" s="14" t="s">
        <v>14</v>
      </c>
      <c r="J18" s="30">
        <v>45759.0</v>
      </c>
      <c r="K18" s="7" t="s">
        <v>676</v>
      </c>
      <c r="L18" s="9"/>
    </row>
    <row r="19">
      <c r="A19" s="7">
        <v>17.0</v>
      </c>
      <c r="B19" s="8">
        <v>9.0812201E8</v>
      </c>
      <c r="C19" s="29" t="s">
        <v>80</v>
      </c>
      <c r="D19" s="10">
        <v>2.6973917E7</v>
      </c>
      <c r="E19" s="7">
        <v>8.0</v>
      </c>
      <c r="F19" s="11">
        <v>8.0</v>
      </c>
      <c r="G19" s="12">
        <f t="shared" si="1"/>
        <v>0</v>
      </c>
      <c r="H19" s="13">
        <v>45762.0</v>
      </c>
      <c r="I19" s="14" t="s">
        <v>14</v>
      </c>
      <c r="J19" s="30">
        <v>45759.0</v>
      </c>
      <c r="K19" s="7" t="s">
        <v>676</v>
      </c>
      <c r="L19" s="9"/>
    </row>
    <row r="20">
      <c r="A20" s="7">
        <v>18.0</v>
      </c>
      <c r="B20" s="8">
        <v>9.08202054E8</v>
      </c>
      <c r="C20" s="9" t="s">
        <v>455</v>
      </c>
      <c r="D20" s="10">
        <v>2.6973917E7</v>
      </c>
      <c r="E20" s="7">
        <v>2.0</v>
      </c>
      <c r="F20" s="11">
        <v>2.0</v>
      </c>
      <c r="G20" s="12">
        <f t="shared" si="1"/>
        <v>0</v>
      </c>
      <c r="H20" s="13">
        <v>45762.0</v>
      </c>
      <c r="I20" s="14" t="s">
        <v>14</v>
      </c>
      <c r="J20" s="30">
        <v>45759.0</v>
      </c>
      <c r="K20" s="7" t="s">
        <v>676</v>
      </c>
      <c r="L20" s="9"/>
    </row>
    <row r="21" ht="15.75" customHeight="1">
      <c r="A21" s="7">
        <v>19.0</v>
      </c>
      <c r="B21" s="8">
        <v>9.08111101E8</v>
      </c>
      <c r="C21" s="9" t="s">
        <v>452</v>
      </c>
      <c r="D21" s="10">
        <v>2.6973917E7</v>
      </c>
      <c r="E21" s="7">
        <v>6.0</v>
      </c>
      <c r="F21" s="11">
        <v>4.0</v>
      </c>
      <c r="G21" s="12">
        <f t="shared" si="1"/>
        <v>2</v>
      </c>
      <c r="H21" s="13">
        <v>45763.0</v>
      </c>
      <c r="I21" s="14" t="s">
        <v>14</v>
      </c>
      <c r="J21" s="30">
        <v>45759.0</v>
      </c>
      <c r="K21" s="7" t="s">
        <v>676</v>
      </c>
      <c r="L21" s="9"/>
    </row>
    <row r="22" ht="15.75" customHeight="1"/>
    <row r="23" ht="15.75" customHeight="1"/>
    <row r="24" ht="15.75" customHeight="1"/>
    <row r="25" ht="15.75" customHeight="1"/>
    <row r="26" ht="15.75" customHeight="1">
      <c r="H26" s="18" t="s">
        <v>341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692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9.08371003E8</v>
      </c>
      <c r="C3" s="7" t="s">
        <v>81</v>
      </c>
      <c r="D3" s="10"/>
      <c r="E3" s="7">
        <v>1.0</v>
      </c>
      <c r="F3" s="11">
        <v>1.0</v>
      </c>
      <c r="G3" s="12">
        <f>E3-F3</f>
        <v>0</v>
      </c>
      <c r="H3" s="13">
        <v>45721.0</v>
      </c>
      <c r="I3" s="14" t="s">
        <v>14</v>
      </c>
      <c r="J3" s="15">
        <v>45729.0</v>
      </c>
      <c r="K3" s="7" t="s">
        <v>676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10">
      <c r="F10" s="18">
        <v>6.0</v>
      </c>
    </row>
    <row r="16">
      <c r="H16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9.08371003E8</v>
      </c>
      <c r="C3" s="7" t="s">
        <v>81</v>
      </c>
      <c r="D3" s="10"/>
      <c r="E3" s="7">
        <v>1.0</v>
      </c>
      <c r="F3" s="11">
        <v>1.0</v>
      </c>
      <c r="G3" s="12">
        <f>E3-F3</f>
        <v>0</v>
      </c>
      <c r="H3" s="13">
        <v>45721.0</v>
      </c>
      <c r="I3" s="14" t="s">
        <v>14</v>
      </c>
      <c r="J3" s="15">
        <v>45729.0</v>
      </c>
      <c r="K3" s="7" t="s">
        <v>676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10">
      <c r="F10" s="18">
        <v>6.0</v>
      </c>
    </row>
    <row r="16">
      <c r="H16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70.14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694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2.6825669E7</v>
      </c>
      <c r="E3" s="7">
        <v>1.0</v>
      </c>
      <c r="F3" s="11"/>
      <c r="G3" s="12">
        <f t="shared" ref="G3:G23" si="1">E3-F3</f>
        <v>1</v>
      </c>
      <c r="H3" s="13">
        <v>45721.0</v>
      </c>
      <c r="I3" s="14" t="s">
        <v>14</v>
      </c>
      <c r="J3" s="15"/>
      <c r="K3" s="7"/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2.6825669E7</v>
      </c>
      <c r="E4" s="7">
        <v>2.0</v>
      </c>
      <c r="F4" s="11"/>
      <c r="G4" s="12">
        <f t="shared" si="1"/>
        <v>2</v>
      </c>
      <c r="H4" s="13">
        <v>45721.0</v>
      </c>
      <c r="I4" s="14" t="s">
        <v>14</v>
      </c>
      <c r="J4" s="15"/>
      <c r="K4" s="7"/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2.6825669E7</v>
      </c>
      <c r="E5" s="7">
        <v>2.0</v>
      </c>
      <c r="F5" s="11">
        <f>1+1</f>
        <v>2</v>
      </c>
      <c r="G5" s="12">
        <f t="shared" si="1"/>
        <v>0</v>
      </c>
      <c r="H5" s="13">
        <v>45721.0</v>
      </c>
      <c r="I5" s="14" t="s">
        <v>14</v>
      </c>
      <c r="J5" s="30" t="s">
        <v>695</v>
      </c>
      <c r="K5" s="7" t="s">
        <v>676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2.6825669E7</v>
      </c>
      <c r="E6" s="7">
        <v>2.0</v>
      </c>
      <c r="F6" s="11">
        <v>2.0</v>
      </c>
      <c r="G6" s="12">
        <f t="shared" si="1"/>
        <v>0</v>
      </c>
      <c r="H6" s="13">
        <v>45721.0</v>
      </c>
      <c r="I6" s="14" t="s">
        <v>14</v>
      </c>
      <c r="J6" s="30">
        <v>45738.0</v>
      </c>
      <c r="K6" s="7" t="s">
        <v>676</v>
      </c>
      <c r="L6" s="20"/>
    </row>
    <row r="7">
      <c r="A7" s="7">
        <v>5.0</v>
      </c>
      <c r="B7" s="8">
        <v>9.0820203E8</v>
      </c>
      <c r="C7" s="9" t="s">
        <v>454</v>
      </c>
      <c r="D7" s="10">
        <v>2.6825669E7</v>
      </c>
      <c r="E7" s="7">
        <v>2.0</v>
      </c>
      <c r="F7" s="11">
        <v>2.0</v>
      </c>
      <c r="G7" s="12">
        <f t="shared" si="1"/>
        <v>0</v>
      </c>
      <c r="H7" s="13">
        <v>45721.0</v>
      </c>
      <c r="I7" s="14" t="s">
        <v>14</v>
      </c>
      <c r="J7" s="30">
        <v>45738.0</v>
      </c>
      <c r="K7" s="7" t="s">
        <v>676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2.6825669E7</v>
      </c>
      <c r="E8" s="7">
        <v>2.0</v>
      </c>
      <c r="F8" s="11">
        <v>2.0</v>
      </c>
      <c r="G8" s="12">
        <f t="shared" si="1"/>
        <v>0</v>
      </c>
      <c r="H8" s="13">
        <v>45721.0</v>
      </c>
      <c r="I8" s="14" t="s">
        <v>14</v>
      </c>
      <c r="J8" s="30">
        <v>45738.0</v>
      </c>
      <c r="K8" s="7" t="s">
        <v>676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2.6825669E7</v>
      </c>
      <c r="E9" s="7">
        <v>1.0</v>
      </c>
      <c r="F9" s="11">
        <v>1.0</v>
      </c>
      <c r="G9" s="12">
        <f t="shared" si="1"/>
        <v>0</v>
      </c>
      <c r="H9" s="13">
        <v>45721.0</v>
      </c>
      <c r="I9" s="14" t="s">
        <v>14</v>
      </c>
      <c r="J9" s="30">
        <v>45738.0</v>
      </c>
      <c r="K9" s="7" t="s">
        <v>676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2.6825669E7</v>
      </c>
      <c r="E10" s="7">
        <v>3.0</v>
      </c>
      <c r="F10" s="11">
        <v>6.0</v>
      </c>
      <c r="G10" s="12">
        <f t="shared" si="1"/>
        <v>-3</v>
      </c>
      <c r="H10" s="13">
        <v>45721.0</v>
      </c>
      <c r="I10" s="14" t="s">
        <v>14</v>
      </c>
      <c r="J10" s="15">
        <v>45739.0</v>
      </c>
      <c r="K10" s="7" t="s">
        <v>676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2.6825669E7</v>
      </c>
      <c r="E11" s="7">
        <v>15.0</v>
      </c>
      <c r="F11" s="11">
        <v>15.0</v>
      </c>
      <c r="G11" s="12">
        <f t="shared" si="1"/>
        <v>0</v>
      </c>
      <c r="H11" s="13">
        <v>45721.0</v>
      </c>
      <c r="I11" s="14" t="s">
        <v>14</v>
      </c>
      <c r="J11" s="30">
        <v>45738.0</v>
      </c>
      <c r="K11" s="7" t="s">
        <v>676</v>
      </c>
      <c r="L11" s="9" t="s">
        <v>696</v>
      </c>
    </row>
    <row r="12">
      <c r="A12" s="7">
        <v>10.0</v>
      </c>
      <c r="B12" s="8">
        <v>9.08111006E8</v>
      </c>
      <c r="C12" s="9" t="s">
        <v>71</v>
      </c>
      <c r="D12" s="10">
        <v>2.6825669E7</v>
      </c>
      <c r="E12" s="7">
        <v>10.0</v>
      </c>
      <c r="F12" s="11">
        <v>10.0</v>
      </c>
      <c r="G12" s="12">
        <f t="shared" si="1"/>
        <v>0</v>
      </c>
      <c r="H12" s="13">
        <v>45721.0</v>
      </c>
      <c r="I12" s="14" t="s">
        <v>14</v>
      </c>
      <c r="J12" s="30">
        <v>45738.0</v>
      </c>
      <c r="K12" s="7" t="s">
        <v>676</v>
      </c>
      <c r="L12" s="9" t="s">
        <v>665</v>
      </c>
    </row>
    <row r="13">
      <c r="A13" s="7">
        <v>11.0</v>
      </c>
      <c r="B13" s="8">
        <v>9.08111101E8</v>
      </c>
      <c r="C13" s="9" t="s">
        <v>452</v>
      </c>
      <c r="D13" s="10">
        <v>2.6825669E7</v>
      </c>
      <c r="E13" s="7">
        <v>6.0</v>
      </c>
      <c r="F13" s="11">
        <v>6.0</v>
      </c>
      <c r="G13" s="12">
        <f t="shared" si="1"/>
        <v>0</v>
      </c>
      <c r="H13" s="13">
        <v>45721.0</v>
      </c>
      <c r="I13" s="14" t="s">
        <v>14</v>
      </c>
      <c r="J13" s="30">
        <v>45738.0</v>
      </c>
      <c r="K13" s="7" t="s">
        <v>676</v>
      </c>
      <c r="L13" s="9"/>
    </row>
    <row r="14">
      <c r="A14" s="7">
        <v>12.0</v>
      </c>
      <c r="B14" s="8">
        <v>9.08121009E8</v>
      </c>
      <c r="C14" s="9" t="s">
        <v>444</v>
      </c>
      <c r="D14" s="10">
        <v>2.6825669E7</v>
      </c>
      <c r="E14" s="7">
        <v>1.0</v>
      </c>
      <c r="F14" s="11">
        <v>1.0</v>
      </c>
      <c r="G14" s="12">
        <f t="shared" si="1"/>
        <v>0</v>
      </c>
      <c r="H14" s="13">
        <v>45721.0</v>
      </c>
      <c r="I14" s="14" t="s">
        <v>14</v>
      </c>
      <c r="J14" s="30">
        <v>45738.0</v>
      </c>
      <c r="K14" s="7" t="s">
        <v>676</v>
      </c>
      <c r="L14" s="20"/>
    </row>
    <row r="15">
      <c r="A15" s="7">
        <v>13.0</v>
      </c>
      <c r="B15" s="8">
        <v>9.08421002E8</v>
      </c>
      <c r="C15" s="9" t="s">
        <v>697</v>
      </c>
      <c r="D15" s="10">
        <v>2.6974002E7</v>
      </c>
      <c r="E15" s="7">
        <v>1.0</v>
      </c>
      <c r="F15" s="11">
        <v>1.0</v>
      </c>
      <c r="G15" s="12">
        <f t="shared" si="1"/>
        <v>0</v>
      </c>
      <c r="H15" s="13">
        <v>45762.0</v>
      </c>
      <c r="I15" s="14" t="s">
        <v>14</v>
      </c>
      <c r="J15" s="30">
        <v>45759.0</v>
      </c>
      <c r="K15" s="7" t="s">
        <v>676</v>
      </c>
      <c r="L15" s="20"/>
    </row>
    <row r="16">
      <c r="A16" s="7">
        <v>14.0</v>
      </c>
      <c r="B16" s="8">
        <v>9.08442208E8</v>
      </c>
      <c r="C16" s="9" t="s">
        <v>531</v>
      </c>
      <c r="D16" s="10">
        <v>2.6974002E7</v>
      </c>
      <c r="E16" s="7">
        <v>2.0</v>
      </c>
      <c r="F16" s="11">
        <v>2.0</v>
      </c>
      <c r="G16" s="12">
        <f t="shared" si="1"/>
        <v>0</v>
      </c>
      <c r="H16" s="13">
        <v>45762.0</v>
      </c>
      <c r="I16" s="14" t="s">
        <v>14</v>
      </c>
      <c r="J16" s="30">
        <v>45759.0</v>
      </c>
      <c r="K16" s="7" t="s">
        <v>676</v>
      </c>
      <c r="L16" s="20"/>
    </row>
    <row r="17">
      <c r="A17" s="7">
        <v>15.0</v>
      </c>
      <c r="B17" s="8">
        <v>9.08371003E8</v>
      </c>
      <c r="C17" s="9" t="s">
        <v>81</v>
      </c>
      <c r="D17" s="10">
        <v>2.6974002E7</v>
      </c>
      <c r="E17" s="7">
        <v>2.0</v>
      </c>
      <c r="F17" s="11">
        <v>2.0</v>
      </c>
      <c r="G17" s="12">
        <f t="shared" si="1"/>
        <v>0</v>
      </c>
      <c r="H17" s="13">
        <v>45762.0</v>
      </c>
      <c r="I17" s="14" t="s">
        <v>14</v>
      </c>
      <c r="J17" s="30">
        <v>45759.0</v>
      </c>
      <c r="K17" s="7" t="s">
        <v>676</v>
      </c>
      <c r="L17" s="20"/>
    </row>
    <row r="18">
      <c r="A18" s="7">
        <v>16.0</v>
      </c>
      <c r="B18" s="8">
        <v>9.08202098E8</v>
      </c>
      <c r="C18" s="9" t="s">
        <v>453</v>
      </c>
      <c r="D18" s="10">
        <v>2.6974002E7</v>
      </c>
      <c r="E18" s="7">
        <v>2.0</v>
      </c>
      <c r="F18" s="11">
        <v>1.0</v>
      </c>
      <c r="G18" s="12">
        <f t="shared" si="1"/>
        <v>1</v>
      </c>
      <c r="H18" s="13">
        <v>45762.0</v>
      </c>
      <c r="I18" s="14" t="s">
        <v>14</v>
      </c>
      <c r="J18" s="30">
        <v>45759.0</v>
      </c>
      <c r="K18" s="7" t="s">
        <v>676</v>
      </c>
      <c r="L18" s="20"/>
    </row>
    <row r="19">
      <c r="A19" s="7">
        <v>17.0</v>
      </c>
      <c r="B19" s="8">
        <v>9.0820203E8</v>
      </c>
      <c r="C19" s="9" t="s">
        <v>454</v>
      </c>
      <c r="D19" s="10">
        <v>2.6974002E7</v>
      </c>
      <c r="E19" s="7">
        <v>11.0</v>
      </c>
      <c r="F19" s="11">
        <v>3.0</v>
      </c>
      <c r="G19" s="12">
        <f t="shared" si="1"/>
        <v>8</v>
      </c>
      <c r="H19" s="13">
        <v>45762.0</v>
      </c>
      <c r="I19" s="14" t="s">
        <v>14</v>
      </c>
      <c r="J19" s="30">
        <v>45759.0</v>
      </c>
      <c r="K19" s="7" t="s">
        <v>676</v>
      </c>
      <c r="L19" s="20"/>
    </row>
    <row r="20">
      <c r="A20" s="7">
        <v>18.0</v>
      </c>
      <c r="B20" s="8">
        <v>9.08122035E8</v>
      </c>
      <c r="C20" s="9" t="s">
        <v>698</v>
      </c>
      <c r="D20" s="10">
        <v>2.6974002E7</v>
      </c>
      <c r="E20" s="7">
        <v>8.0</v>
      </c>
      <c r="F20" s="11"/>
      <c r="G20" s="12">
        <f t="shared" si="1"/>
        <v>8</v>
      </c>
      <c r="H20" s="13">
        <v>45762.0</v>
      </c>
      <c r="I20" s="14" t="s">
        <v>14</v>
      </c>
      <c r="J20" s="30"/>
      <c r="K20" s="7"/>
      <c r="L20" s="20"/>
    </row>
    <row r="21" ht="15.75" customHeight="1">
      <c r="A21" s="7">
        <v>19.0</v>
      </c>
      <c r="B21" s="8" t="s">
        <v>445</v>
      </c>
      <c r="C21" s="9" t="s">
        <v>446</v>
      </c>
      <c r="D21" s="10">
        <v>2.6974002E7</v>
      </c>
      <c r="E21" s="7">
        <v>4.0</v>
      </c>
      <c r="F21" s="11">
        <v>4.0</v>
      </c>
      <c r="G21" s="12">
        <f t="shared" si="1"/>
        <v>0</v>
      </c>
      <c r="H21" s="13">
        <v>45762.0</v>
      </c>
      <c r="I21" s="14" t="s">
        <v>14</v>
      </c>
      <c r="J21" s="30">
        <v>45759.0</v>
      </c>
      <c r="K21" s="7" t="s">
        <v>676</v>
      </c>
      <c r="L21" s="20"/>
    </row>
    <row r="22" ht="15.75" customHeight="1">
      <c r="A22" s="7">
        <v>20.0</v>
      </c>
      <c r="B22" s="8">
        <v>9.08202054E8</v>
      </c>
      <c r="C22" s="9" t="s">
        <v>455</v>
      </c>
      <c r="D22" s="10">
        <v>2.6974002E7</v>
      </c>
      <c r="E22" s="7">
        <v>1.0</v>
      </c>
      <c r="F22" s="11">
        <v>1.0</v>
      </c>
      <c r="G22" s="12">
        <f t="shared" si="1"/>
        <v>0</v>
      </c>
      <c r="H22" s="13">
        <v>45762.0</v>
      </c>
      <c r="I22" s="14" t="s">
        <v>14</v>
      </c>
      <c r="J22" s="30">
        <v>45759.0</v>
      </c>
      <c r="K22" s="7" t="s">
        <v>676</v>
      </c>
      <c r="L22" s="20"/>
    </row>
    <row r="23" ht="15.75" customHeight="1">
      <c r="A23" s="7">
        <v>21.0</v>
      </c>
      <c r="B23" s="8">
        <v>9.08111101E8</v>
      </c>
      <c r="C23" s="9" t="s">
        <v>452</v>
      </c>
      <c r="D23" s="10">
        <v>2.6974002E7</v>
      </c>
      <c r="E23" s="7">
        <v>4.0</v>
      </c>
      <c r="F23" s="11">
        <v>2.0</v>
      </c>
      <c r="G23" s="12">
        <f t="shared" si="1"/>
        <v>2</v>
      </c>
      <c r="H23" s="13">
        <v>45763.0</v>
      </c>
      <c r="I23" s="14" t="s">
        <v>14</v>
      </c>
      <c r="J23" s="30">
        <v>45759.0</v>
      </c>
      <c r="K23" s="7" t="s">
        <v>676</v>
      </c>
      <c r="L23" s="20"/>
    </row>
    <row r="24" ht="15.75" customHeight="1">
      <c r="A24" s="7">
        <v>22.0</v>
      </c>
      <c r="B24" s="8">
        <v>9.08122034E8</v>
      </c>
      <c r="C24" s="9" t="s">
        <v>620</v>
      </c>
      <c r="D24" s="10"/>
      <c r="E24" s="7"/>
      <c r="F24" s="11">
        <v>8.0</v>
      </c>
      <c r="G24" s="12">
        <f>F24-E24</f>
        <v>8</v>
      </c>
      <c r="H24" s="13"/>
      <c r="I24" s="14"/>
      <c r="J24" s="30">
        <v>45763.0</v>
      </c>
      <c r="K24" s="7" t="s">
        <v>676</v>
      </c>
      <c r="L24" s="20"/>
    </row>
    <row r="25" ht="15.75" customHeight="1">
      <c r="B25" s="8">
        <v>9.08111006E8</v>
      </c>
      <c r="C25" s="9" t="s">
        <v>71</v>
      </c>
    </row>
    <row r="26" ht="15.75" customHeight="1">
      <c r="H26" s="18" t="s">
        <v>341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699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46.5" customHeight="1">
      <c r="A3" s="7">
        <v>1.0</v>
      </c>
      <c r="B3" s="8">
        <v>9.08121008E8</v>
      </c>
      <c r="C3" s="29" t="s">
        <v>593</v>
      </c>
      <c r="D3" s="122">
        <v>2.6770413E7</v>
      </c>
      <c r="E3" s="123">
        <v>2.0</v>
      </c>
      <c r="F3" s="124">
        <v>2.0</v>
      </c>
      <c r="G3" s="125">
        <f t="shared" ref="G3:G13" si="1">E3-F3</f>
        <v>0</v>
      </c>
      <c r="H3" s="126">
        <v>45713.0</v>
      </c>
      <c r="I3" s="127" t="s">
        <v>14</v>
      </c>
      <c r="J3" s="126">
        <v>45718.0</v>
      </c>
      <c r="K3" s="38" t="s">
        <v>676</v>
      </c>
      <c r="L3" s="128"/>
    </row>
    <row r="4" ht="38.25" customHeight="1">
      <c r="A4" s="7">
        <v>2.0</v>
      </c>
      <c r="B4" s="8">
        <v>9.08111005E8</v>
      </c>
      <c r="C4" s="9" t="s">
        <v>700</v>
      </c>
      <c r="D4" s="122">
        <v>2.6770413E7</v>
      </c>
      <c r="E4" s="123">
        <v>74.0</v>
      </c>
      <c r="F4" s="124">
        <v>79.0</v>
      </c>
      <c r="G4" s="125">
        <f t="shared" si="1"/>
        <v>-5</v>
      </c>
      <c r="H4" s="126">
        <v>45714.0</v>
      </c>
      <c r="I4" s="127" t="s">
        <v>701</v>
      </c>
      <c r="J4" s="126">
        <v>45718.0</v>
      </c>
      <c r="K4" s="38" t="s">
        <v>676</v>
      </c>
      <c r="L4" s="128"/>
    </row>
    <row r="5">
      <c r="A5" s="7">
        <v>3.0</v>
      </c>
      <c r="B5" s="8">
        <v>9.08111101E8</v>
      </c>
      <c r="C5" s="9" t="s">
        <v>452</v>
      </c>
      <c r="D5" s="122">
        <v>2.6985145E7</v>
      </c>
      <c r="E5" s="123">
        <v>6.0</v>
      </c>
      <c r="F5" s="124"/>
      <c r="G5" s="125">
        <f t="shared" si="1"/>
        <v>6</v>
      </c>
      <c r="H5" s="126">
        <v>45763.0</v>
      </c>
      <c r="I5" s="127" t="s">
        <v>14</v>
      </c>
      <c r="J5" s="126"/>
      <c r="K5" s="38"/>
    </row>
    <row r="6">
      <c r="A6" s="7">
        <v>4.0</v>
      </c>
      <c r="B6" s="137">
        <v>9.08202054E8</v>
      </c>
      <c r="C6" s="138" t="s">
        <v>455</v>
      </c>
      <c r="D6" s="151">
        <v>2.6985145E7</v>
      </c>
      <c r="E6" s="152">
        <v>2.0</v>
      </c>
      <c r="F6" s="153"/>
      <c r="G6" s="154">
        <f t="shared" si="1"/>
        <v>2</v>
      </c>
      <c r="H6" s="155">
        <v>45770.0</v>
      </c>
      <c r="I6" s="156" t="s">
        <v>14</v>
      </c>
      <c r="J6" s="155"/>
      <c r="K6" s="157"/>
    </row>
    <row r="7">
      <c r="A7" s="7">
        <v>5.0</v>
      </c>
      <c r="B7" s="8">
        <v>9.08421001E8</v>
      </c>
      <c r="C7" s="9" t="s">
        <v>702</v>
      </c>
      <c r="D7" s="122">
        <v>2.6985145E7</v>
      </c>
      <c r="E7" s="152">
        <v>2.0</v>
      </c>
      <c r="F7" s="153"/>
      <c r="G7" s="154">
        <f t="shared" si="1"/>
        <v>2</v>
      </c>
      <c r="H7" s="155">
        <v>45768.0</v>
      </c>
      <c r="I7" s="156" t="s">
        <v>14</v>
      </c>
      <c r="J7" s="17"/>
      <c r="K7" s="17"/>
      <c r="L7" s="17"/>
    </row>
    <row r="8">
      <c r="A8" s="7">
        <v>6.0</v>
      </c>
      <c r="B8" s="8">
        <v>9.08442208E8</v>
      </c>
      <c r="C8" s="9" t="s">
        <v>531</v>
      </c>
      <c r="D8" s="122">
        <v>2.6985145E7</v>
      </c>
      <c r="E8" s="152">
        <v>2.0</v>
      </c>
      <c r="F8" s="153"/>
      <c r="G8" s="154">
        <f t="shared" si="1"/>
        <v>2</v>
      </c>
      <c r="H8" s="155">
        <v>45768.0</v>
      </c>
      <c r="I8" s="156" t="s">
        <v>14</v>
      </c>
      <c r="J8" s="17"/>
      <c r="K8" s="17"/>
      <c r="L8" s="17"/>
    </row>
    <row r="9">
      <c r="A9" s="7">
        <v>7.0</v>
      </c>
      <c r="B9" s="8">
        <v>9.08371003E8</v>
      </c>
      <c r="C9" s="9" t="s">
        <v>113</v>
      </c>
      <c r="D9" s="122">
        <v>2.6985145E7</v>
      </c>
      <c r="E9" s="152">
        <v>2.0</v>
      </c>
      <c r="F9" s="153"/>
      <c r="G9" s="154">
        <f t="shared" si="1"/>
        <v>2</v>
      </c>
      <c r="H9" s="155">
        <v>45768.0</v>
      </c>
      <c r="I9" s="156" t="s">
        <v>14</v>
      </c>
      <c r="J9" s="17"/>
      <c r="K9" s="17"/>
      <c r="L9" s="17"/>
    </row>
    <row r="10">
      <c r="A10" s="7">
        <v>8.0</v>
      </c>
      <c r="B10" s="8">
        <v>9.08202189E8</v>
      </c>
      <c r="C10" s="9" t="s">
        <v>55</v>
      </c>
      <c r="D10" s="122">
        <v>2.6985145E7</v>
      </c>
      <c r="E10" s="152">
        <v>2.0</v>
      </c>
      <c r="F10" s="153">
        <v>6.0</v>
      </c>
      <c r="G10" s="154">
        <f t="shared" si="1"/>
        <v>-4</v>
      </c>
      <c r="H10" s="155">
        <v>45768.0</v>
      </c>
      <c r="I10" s="156" t="s">
        <v>14</v>
      </c>
      <c r="J10" s="17"/>
      <c r="K10" s="17"/>
      <c r="L10" s="17"/>
    </row>
    <row r="11">
      <c r="A11" s="7">
        <v>9.0</v>
      </c>
      <c r="B11" s="8">
        <v>9.0820203E8</v>
      </c>
      <c r="C11" s="9" t="s">
        <v>454</v>
      </c>
      <c r="D11" s="122">
        <v>2.6985145E7</v>
      </c>
      <c r="E11" s="152">
        <v>10.0</v>
      </c>
      <c r="F11" s="153"/>
      <c r="G11" s="154">
        <f t="shared" si="1"/>
        <v>10</v>
      </c>
      <c r="H11" s="155">
        <v>45768.0</v>
      </c>
      <c r="I11" s="156" t="s">
        <v>14</v>
      </c>
      <c r="J11" s="17"/>
      <c r="K11" s="17"/>
      <c r="L11" s="17"/>
    </row>
    <row r="12">
      <c r="A12" s="7">
        <v>12.0</v>
      </c>
      <c r="B12" s="8">
        <v>9.08202054E8</v>
      </c>
      <c r="C12" s="9" t="s">
        <v>455</v>
      </c>
      <c r="D12" s="122">
        <v>2.6985145E7</v>
      </c>
      <c r="E12" s="152">
        <v>2.0</v>
      </c>
      <c r="F12" s="153"/>
      <c r="G12" s="154">
        <f t="shared" si="1"/>
        <v>2</v>
      </c>
      <c r="H12" s="155">
        <v>45768.0</v>
      </c>
      <c r="I12" s="156" t="s">
        <v>14</v>
      </c>
      <c r="J12" s="17"/>
      <c r="K12" s="17"/>
      <c r="L12" s="17"/>
    </row>
    <row r="13">
      <c r="A13" s="7">
        <v>14.0</v>
      </c>
      <c r="B13" s="8">
        <v>9.08122034E8</v>
      </c>
      <c r="C13" s="9" t="s">
        <v>620</v>
      </c>
      <c r="D13" s="122">
        <v>2.6985145E7</v>
      </c>
      <c r="E13" s="123">
        <v>8.0</v>
      </c>
      <c r="F13" s="153"/>
      <c r="G13" s="125">
        <f t="shared" si="1"/>
        <v>8</v>
      </c>
      <c r="H13" s="126">
        <v>45768.0</v>
      </c>
      <c r="I13" s="127" t="s">
        <v>14</v>
      </c>
      <c r="J13" s="17"/>
      <c r="K13" s="17"/>
      <c r="L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703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2.6719581E7</v>
      </c>
      <c r="E3" s="7">
        <v>1.0</v>
      </c>
      <c r="F3" s="11"/>
      <c r="G3" s="12">
        <f t="shared" ref="G3:G23" si="1">E3-F3</f>
        <v>1</v>
      </c>
      <c r="H3" s="13">
        <v>45698.0</v>
      </c>
      <c r="I3" s="14" t="s">
        <v>14</v>
      </c>
      <c r="J3" s="15"/>
      <c r="K3" s="7"/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2.6719581E7</v>
      </c>
      <c r="E4" s="7">
        <v>1.0</v>
      </c>
      <c r="F4" s="11">
        <v>1.0</v>
      </c>
      <c r="G4" s="12">
        <f t="shared" si="1"/>
        <v>0</v>
      </c>
      <c r="H4" s="13">
        <v>45698.0</v>
      </c>
      <c r="I4" s="14" t="s">
        <v>14</v>
      </c>
      <c r="J4" s="15">
        <v>45897.0</v>
      </c>
      <c r="K4" s="7" t="s">
        <v>283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2.6719581E7</v>
      </c>
      <c r="E5" s="7">
        <v>2.0</v>
      </c>
      <c r="F5" s="11">
        <f>1+1</f>
        <v>2</v>
      </c>
      <c r="G5" s="12">
        <f t="shared" si="1"/>
        <v>0</v>
      </c>
      <c r="H5" s="13">
        <v>45698.0</v>
      </c>
      <c r="I5" s="14" t="s">
        <v>14</v>
      </c>
      <c r="J5" s="30" t="s">
        <v>704</v>
      </c>
      <c r="K5" s="7" t="s">
        <v>676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2.6719581E7</v>
      </c>
      <c r="E6" s="7">
        <v>2.0</v>
      </c>
      <c r="F6" s="11">
        <v>2.0</v>
      </c>
      <c r="G6" s="12">
        <f t="shared" si="1"/>
        <v>0</v>
      </c>
      <c r="H6" s="13">
        <v>45698.0</v>
      </c>
      <c r="I6" s="14" t="s">
        <v>14</v>
      </c>
      <c r="J6" s="15">
        <v>45897.0</v>
      </c>
      <c r="K6" s="7" t="s">
        <v>283</v>
      </c>
      <c r="L6" s="20"/>
    </row>
    <row r="7">
      <c r="A7" s="7">
        <v>5.0</v>
      </c>
      <c r="B7" s="8">
        <v>9.0820203E8</v>
      </c>
      <c r="C7" s="9" t="s">
        <v>454</v>
      </c>
      <c r="D7" s="10">
        <v>2.6719581E7</v>
      </c>
      <c r="E7" s="7">
        <v>2.0</v>
      </c>
      <c r="F7" s="11">
        <v>2.0</v>
      </c>
      <c r="G7" s="12">
        <f t="shared" si="1"/>
        <v>0</v>
      </c>
      <c r="H7" s="13">
        <v>45698.0</v>
      </c>
      <c r="I7" s="14" t="s">
        <v>14</v>
      </c>
      <c r="J7" s="15">
        <v>45897.0</v>
      </c>
      <c r="K7" s="7" t="s">
        <v>283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2.6719581E7</v>
      </c>
      <c r="E8" s="7">
        <v>2.0</v>
      </c>
      <c r="F8" s="11">
        <v>2.0</v>
      </c>
      <c r="G8" s="12">
        <f t="shared" si="1"/>
        <v>0</v>
      </c>
      <c r="H8" s="13">
        <v>45698.0</v>
      </c>
      <c r="I8" s="14" t="s">
        <v>14</v>
      </c>
      <c r="J8" s="15">
        <v>45897.0</v>
      </c>
      <c r="K8" s="7" t="s">
        <v>283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2.6719581E7</v>
      </c>
      <c r="E9" s="7">
        <v>1.0</v>
      </c>
      <c r="F9" s="11">
        <v>1.0</v>
      </c>
      <c r="G9" s="12">
        <f t="shared" si="1"/>
        <v>0</v>
      </c>
      <c r="H9" s="13">
        <v>45698.0</v>
      </c>
      <c r="I9" s="14" t="s">
        <v>14</v>
      </c>
      <c r="J9" s="15">
        <v>45897.0</v>
      </c>
      <c r="K9" s="7" t="s">
        <v>283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2.6719581E7</v>
      </c>
      <c r="E10" s="7">
        <v>3.0</v>
      </c>
      <c r="F10" s="11">
        <v>6.0</v>
      </c>
      <c r="G10" s="12">
        <f t="shared" si="1"/>
        <v>-3</v>
      </c>
      <c r="H10" s="13">
        <v>45698.0</v>
      </c>
      <c r="I10" s="14" t="s">
        <v>14</v>
      </c>
      <c r="J10" s="15">
        <v>45720.0</v>
      </c>
      <c r="K10" s="7" t="s">
        <v>676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2.6719581E7</v>
      </c>
      <c r="E11" s="7">
        <v>115.0</v>
      </c>
      <c r="F11" s="11">
        <v>123.0</v>
      </c>
      <c r="G11" s="12">
        <f t="shared" si="1"/>
        <v>-8</v>
      </c>
      <c r="H11" s="13">
        <v>45698.0</v>
      </c>
      <c r="I11" s="14" t="s">
        <v>14</v>
      </c>
      <c r="J11" s="15">
        <v>45714.0</v>
      </c>
      <c r="K11" s="7" t="s">
        <v>676</v>
      </c>
      <c r="L11" s="9"/>
    </row>
    <row r="12">
      <c r="A12" s="7">
        <v>10.0</v>
      </c>
      <c r="B12" s="8">
        <v>9.08111005E8</v>
      </c>
      <c r="C12" s="9" t="s">
        <v>608</v>
      </c>
      <c r="D12" s="10">
        <v>2.6719581E7</v>
      </c>
      <c r="E12" s="7">
        <v>12.0</v>
      </c>
      <c r="F12" s="11">
        <v>16.0</v>
      </c>
      <c r="G12" s="12">
        <f t="shared" si="1"/>
        <v>-4</v>
      </c>
      <c r="H12" s="13">
        <v>45698.0</v>
      </c>
      <c r="I12" s="14" t="s">
        <v>14</v>
      </c>
      <c r="J12" s="15">
        <v>45714.0</v>
      </c>
      <c r="K12" s="7" t="s">
        <v>676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2.6719581E7</v>
      </c>
      <c r="E13" s="7">
        <v>6.0</v>
      </c>
      <c r="F13" s="11">
        <v>6.0</v>
      </c>
      <c r="G13" s="12">
        <f t="shared" si="1"/>
        <v>0</v>
      </c>
      <c r="H13" s="13">
        <v>45698.0</v>
      </c>
      <c r="I13" s="14" t="s">
        <v>14</v>
      </c>
      <c r="J13" s="15">
        <v>45897.0</v>
      </c>
      <c r="K13" s="7" t="s">
        <v>283</v>
      </c>
      <c r="L13" s="9"/>
    </row>
    <row r="14">
      <c r="A14" s="7">
        <v>12.0</v>
      </c>
      <c r="B14" s="8">
        <v>9.08421031E8</v>
      </c>
      <c r="C14" s="9" t="s">
        <v>122</v>
      </c>
      <c r="D14" s="10">
        <v>2.8050403E7</v>
      </c>
      <c r="E14" s="7">
        <v>1.0</v>
      </c>
      <c r="F14" s="11">
        <v>1.0</v>
      </c>
      <c r="G14" s="12">
        <f t="shared" si="1"/>
        <v>0</v>
      </c>
      <c r="H14" s="13">
        <v>45971.0</v>
      </c>
      <c r="I14" s="14" t="s">
        <v>14</v>
      </c>
      <c r="J14" s="15">
        <v>45974.0</v>
      </c>
      <c r="K14" s="7" t="s">
        <v>294</v>
      </c>
      <c r="L14" s="9"/>
    </row>
    <row r="15">
      <c r="A15" s="7">
        <v>13.0</v>
      </c>
      <c r="B15" s="8">
        <v>9.08402208E8</v>
      </c>
      <c r="C15" s="9" t="s">
        <v>111</v>
      </c>
      <c r="D15" s="10">
        <v>2.8050403E7</v>
      </c>
      <c r="E15" s="7">
        <v>2.0</v>
      </c>
      <c r="F15" s="11">
        <v>2.0</v>
      </c>
      <c r="G15" s="12">
        <f t="shared" si="1"/>
        <v>0</v>
      </c>
      <c r="H15" s="13">
        <v>45971.0</v>
      </c>
      <c r="I15" s="14" t="s">
        <v>14</v>
      </c>
      <c r="J15" s="15">
        <v>45974.0</v>
      </c>
      <c r="K15" s="7" t="s">
        <v>294</v>
      </c>
      <c r="L15" s="9"/>
    </row>
    <row r="16">
      <c r="A16" s="7">
        <v>14.0</v>
      </c>
      <c r="B16" s="147">
        <v>9.08020201E8</v>
      </c>
      <c r="C16" s="7" t="s">
        <v>13</v>
      </c>
      <c r="D16" s="10">
        <v>2.8050403E7</v>
      </c>
      <c r="E16" s="7">
        <f>1+1</f>
        <v>2</v>
      </c>
      <c r="F16" s="11"/>
      <c r="G16" s="12">
        <f t="shared" si="1"/>
        <v>2</v>
      </c>
      <c r="H16" s="13" t="s">
        <v>705</v>
      </c>
      <c r="I16" s="14" t="s">
        <v>14</v>
      </c>
      <c r="J16" s="15"/>
      <c r="K16" s="7"/>
      <c r="L16" s="9"/>
    </row>
    <row r="17">
      <c r="A17" s="7">
        <v>15.0</v>
      </c>
      <c r="B17" s="8">
        <v>9.0820203E8</v>
      </c>
      <c r="C17" s="9" t="s">
        <v>19</v>
      </c>
      <c r="D17" s="10">
        <v>2.8050403E7</v>
      </c>
      <c r="E17" s="7">
        <v>3.0</v>
      </c>
      <c r="F17" s="11"/>
      <c r="G17" s="12">
        <f t="shared" si="1"/>
        <v>3</v>
      </c>
      <c r="H17" s="13">
        <v>45971.0</v>
      </c>
      <c r="I17" s="14" t="s">
        <v>14</v>
      </c>
      <c r="J17" s="15"/>
      <c r="K17" s="7"/>
      <c r="L17" s="9"/>
    </row>
    <row r="18">
      <c r="A18" s="7">
        <v>16.0</v>
      </c>
      <c r="B18" s="8">
        <v>9.08122003E8</v>
      </c>
      <c r="C18" s="9" t="s">
        <v>368</v>
      </c>
      <c r="D18" s="10">
        <v>2.8050403E7</v>
      </c>
      <c r="E18" s="7">
        <v>8.0</v>
      </c>
      <c r="F18" s="11"/>
      <c r="G18" s="12">
        <f t="shared" si="1"/>
        <v>8</v>
      </c>
      <c r="H18" s="13">
        <v>45971.0</v>
      </c>
      <c r="I18" s="14" t="s">
        <v>14</v>
      </c>
      <c r="J18" s="15"/>
      <c r="K18" s="7"/>
      <c r="L18" s="9"/>
    </row>
    <row r="19">
      <c r="A19" s="7">
        <v>17.0</v>
      </c>
      <c r="B19" s="8">
        <v>9.08111101E8</v>
      </c>
      <c r="C19" s="9" t="s">
        <v>24</v>
      </c>
      <c r="D19" s="10">
        <v>2.8050403E7</v>
      </c>
      <c r="E19" s="7">
        <v>2.0</v>
      </c>
      <c r="F19" s="11">
        <v>2.0</v>
      </c>
      <c r="G19" s="12">
        <f t="shared" si="1"/>
        <v>0</v>
      </c>
      <c r="H19" s="13">
        <v>45971.0</v>
      </c>
      <c r="I19" s="14" t="s">
        <v>14</v>
      </c>
      <c r="J19" s="15">
        <v>45974.0</v>
      </c>
      <c r="K19" s="7" t="s">
        <v>294</v>
      </c>
      <c r="L19" s="9"/>
    </row>
    <row r="20">
      <c r="A20" s="7">
        <v>18.0</v>
      </c>
      <c r="B20" s="8">
        <v>9.0812201E8</v>
      </c>
      <c r="C20" s="9" t="s">
        <v>80</v>
      </c>
      <c r="D20" s="10">
        <v>2.8050403E7</v>
      </c>
      <c r="E20" s="7">
        <v>4.0</v>
      </c>
      <c r="F20" s="11"/>
      <c r="G20" s="12">
        <f t="shared" si="1"/>
        <v>4</v>
      </c>
      <c r="H20" s="13">
        <v>45971.0</v>
      </c>
      <c r="I20" s="14" t="s">
        <v>14</v>
      </c>
      <c r="J20" s="15"/>
      <c r="K20" s="7"/>
      <c r="L20" s="9"/>
    </row>
    <row r="21" ht="15.75" customHeight="1">
      <c r="A21" s="7">
        <v>19.0</v>
      </c>
      <c r="B21" s="8">
        <v>9.08202189E8</v>
      </c>
      <c r="C21" s="9" t="s">
        <v>55</v>
      </c>
      <c r="D21" s="10">
        <v>2.8050403E7</v>
      </c>
      <c r="E21" s="7">
        <f>1+1</f>
        <v>2</v>
      </c>
      <c r="F21" s="11">
        <v>1.0</v>
      </c>
      <c r="G21" s="12">
        <f t="shared" si="1"/>
        <v>1</v>
      </c>
      <c r="H21" s="13" t="s">
        <v>706</v>
      </c>
      <c r="I21" s="14" t="s">
        <v>14</v>
      </c>
      <c r="J21" s="15">
        <v>45974.0</v>
      </c>
      <c r="K21" s="7" t="s">
        <v>294</v>
      </c>
      <c r="L21" s="9"/>
    </row>
    <row r="22" ht="15.75" customHeight="1">
      <c r="A22" s="7">
        <v>20.0</v>
      </c>
      <c r="B22" s="8" t="s">
        <v>20</v>
      </c>
      <c r="C22" s="8" t="s">
        <v>21</v>
      </c>
      <c r="D22" s="10">
        <v>2.8050403E7</v>
      </c>
      <c r="E22" s="7">
        <v>1.0</v>
      </c>
      <c r="F22" s="11">
        <v>1.0</v>
      </c>
      <c r="G22" s="12">
        <f t="shared" si="1"/>
        <v>0</v>
      </c>
      <c r="H22" s="13">
        <v>45971.0</v>
      </c>
      <c r="I22" s="14" t="s">
        <v>14</v>
      </c>
      <c r="J22" s="15">
        <v>45974.0</v>
      </c>
      <c r="K22" s="7" t="s">
        <v>294</v>
      </c>
      <c r="L22" s="9"/>
    </row>
    <row r="23" ht="15.75" customHeight="1">
      <c r="A23" s="7">
        <v>21.0</v>
      </c>
      <c r="B23" s="8">
        <v>9.08371014E8</v>
      </c>
      <c r="C23" s="9" t="s">
        <v>113</v>
      </c>
      <c r="D23" s="10">
        <v>2.8050403E7</v>
      </c>
      <c r="E23" s="7">
        <v>2.0</v>
      </c>
      <c r="F23" s="11">
        <v>2.0</v>
      </c>
      <c r="G23" s="12">
        <f t="shared" si="1"/>
        <v>0</v>
      </c>
      <c r="H23" s="13">
        <v>45971.0</v>
      </c>
      <c r="I23" s="14" t="s">
        <v>14</v>
      </c>
      <c r="J23" s="15">
        <v>45974.0</v>
      </c>
      <c r="K23" s="7" t="s">
        <v>294</v>
      </c>
      <c r="L23" s="9"/>
    </row>
    <row r="24" ht="15.75" customHeight="1"/>
    <row r="25" ht="15.75" customHeight="1"/>
    <row r="26" ht="15.75" customHeight="1">
      <c r="H26" s="18" t="s">
        <v>341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707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46.5" customHeight="1">
      <c r="A3" s="7">
        <v>1.0</v>
      </c>
      <c r="B3" s="8">
        <v>9.08121008E8</v>
      </c>
      <c r="C3" s="29" t="s">
        <v>593</v>
      </c>
      <c r="D3" s="122">
        <v>2.6697281E7</v>
      </c>
      <c r="E3" s="123">
        <v>2.0</v>
      </c>
      <c r="F3" s="124">
        <v>2.0</v>
      </c>
      <c r="G3" s="125">
        <f t="shared" ref="G3:G14" si="1">E3-F3</f>
        <v>0</v>
      </c>
      <c r="H3" s="126">
        <v>45693.0</v>
      </c>
      <c r="I3" s="127" t="s">
        <v>701</v>
      </c>
      <c r="J3" s="126">
        <v>45713.0</v>
      </c>
      <c r="K3" s="38" t="s">
        <v>676</v>
      </c>
      <c r="L3" s="128"/>
    </row>
    <row r="4" ht="38.25" customHeight="1">
      <c r="A4" s="7">
        <v>2.0</v>
      </c>
      <c r="B4" s="8">
        <v>9.08111005E8</v>
      </c>
      <c r="C4" s="9" t="s">
        <v>700</v>
      </c>
      <c r="D4" s="122">
        <v>2.6697281E7</v>
      </c>
      <c r="E4" s="123">
        <v>30.0</v>
      </c>
      <c r="F4" s="124">
        <v>30.0</v>
      </c>
      <c r="G4" s="125">
        <f t="shared" si="1"/>
        <v>0</v>
      </c>
      <c r="H4" s="126">
        <v>45732.0</v>
      </c>
      <c r="I4" s="127" t="s">
        <v>701</v>
      </c>
      <c r="J4" s="126">
        <v>45713.0</v>
      </c>
      <c r="K4" s="38" t="s">
        <v>676</v>
      </c>
      <c r="L4" s="128"/>
    </row>
    <row r="5">
      <c r="A5" s="7">
        <v>3.0</v>
      </c>
      <c r="B5" s="8">
        <v>9.08421001E8</v>
      </c>
      <c r="C5" s="9" t="s">
        <v>687</v>
      </c>
      <c r="D5" s="122">
        <v>2.7004085E7</v>
      </c>
      <c r="E5" s="123">
        <v>1.0</v>
      </c>
      <c r="F5" s="124">
        <v>1.0</v>
      </c>
      <c r="G5" s="125">
        <f t="shared" si="1"/>
        <v>0</v>
      </c>
      <c r="H5" s="126">
        <v>45768.0</v>
      </c>
      <c r="I5" s="127" t="s">
        <v>14</v>
      </c>
      <c r="J5" s="126">
        <v>45769.0</v>
      </c>
      <c r="K5" s="38" t="s">
        <v>676</v>
      </c>
      <c r="L5" s="128"/>
    </row>
    <row r="6">
      <c r="A6" s="7">
        <v>4.0</v>
      </c>
      <c r="B6" s="8">
        <v>9.08421002E8</v>
      </c>
      <c r="C6" s="9" t="s">
        <v>697</v>
      </c>
      <c r="D6" s="122">
        <v>2.7004085E7</v>
      </c>
      <c r="E6" s="123">
        <v>1.0</v>
      </c>
      <c r="F6" s="124">
        <v>1.0</v>
      </c>
      <c r="G6" s="125">
        <f t="shared" si="1"/>
        <v>0</v>
      </c>
      <c r="H6" s="126">
        <v>45768.0</v>
      </c>
      <c r="I6" s="127" t="s">
        <v>14</v>
      </c>
      <c r="J6" s="126">
        <v>45769.0</v>
      </c>
      <c r="K6" s="38" t="s">
        <v>676</v>
      </c>
      <c r="L6" s="128"/>
    </row>
    <row r="7">
      <c r="A7" s="7">
        <v>5.0</v>
      </c>
      <c r="B7" s="8">
        <v>9.08442208E8</v>
      </c>
      <c r="C7" s="9" t="s">
        <v>531</v>
      </c>
      <c r="D7" s="122">
        <v>2.7004085E7</v>
      </c>
      <c r="E7" s="123">
        <v>3.0</v>
      </c>
      <c r="F7" s="124">
        <v>3.0</v>
      </c>
      <c r="G7" s="125">
        <f t="shared" si="1"/>
        <v>0</v>
      </c>
      <c r="H7" s="126">
        <v>45768.0</v>
      </c>
      <c r="I7" s="127" t="s">
        <v>14</v>
      </c>
      <c r="J7" s="126">
        <v>45769.0</v>
      </c>
      <c r="K7" s="38" t="s">
        <v>676</v>
      </c>
      <c r="L7" s="128"/>
    </row>
    <row r="8">
      <c r="A8" s="7">
        <v>6.0</v>
      </c>
      <c r="B8" s="8">
        <v>9.08371014E8</v>
      </c>
      <c r="C8" s="9" t="s">
        <v>113</v>
      </c>
      <c r="D8" s="122">
        <v>2.7004085E7</v>
      </c>
      <c r="E8" s="123">
        <v>3.0</v>
      </c>
      <c r="F8" s="124">
        <v>3.0</v>
      </c>
      <c r="G8" s="125">
        <f t="shared" si="1"/>
        <v>0</v>
      </c>
      <c r="H8" s="126">
        <v>45768.0</v>
      </c>
      <c r="I8" s="127" t="s">
        <v>14</v>
      </c>
      <c r="J8" s="126">
        <v>45769.0</v>
      </c>
      <c r="K8" s="38" t="s">
        <v>676</v>
      </c>
      <c r="L8" s="128"/>
    </row>
    <row r="9">
      <c r="A9" s="7">
        <v>7.0</v>
      </c>
      <c r="B9" s="8">
        <v>9.08202189E8</v>
      </c>
      <c r="C9" s="9" t="s">
        <v>55</v>
      </c>
      <c r="D9" s="122">
        <v>2.7004085E7</v>
      </c>
      <c r="E9" s="123">
        <v>2.0</v>
      </c>
      <c r="F9" s="124">
        <v>2.0</v>
      </c>
      <c r="G9" s="125">
        <f t="shared" si="1"/>
        <v>0</v>
      </c>
      <c r="H9" s="126">
        <v>45768.0</v>
      </c>
      <c r="I9" s="127" t="s">
        <v>14</v>
      </c>
      <c r="J9" s="126">
        <v>45769.0</v>
      </c>
      <c r="K9" s="38" t="s">
        <v>676</v>
      </c>
      <c r="L9" s="128"/>
    </row>
    <row r="10">
      <c r="A10" s="7">
        <v>8.0</v>
      </c>
      <c r="B10" s="8">
        <v>9.0820203E8</v>
      </c>
      <c r="C10" s="9" t="s">
        <v>454</v>
      </c>
      <c r="D10" s="122">
        <v>2.7004085E7</v>
      </c>
      <c r="E10" s="123">
        <v>4.0</v>
      </c>
      <c r="F10" s="124">
        <v>6.0</v>
      </c>
      <c r="G10" s="125">
        <f t="shared" si="1"/>
        <v>-2</v>
      </c>
      <c r="H10" s="126">
        <v>45768.0</v>
      </c>
      <c r="I10" s="127" t="s">
        <v>14</v>
      </c>
      <c r="J10" s="126">
        <v>45769.0</v>
      </c>
      <c r="K10" s="38" t="s">
        <v>676</v>
      </c>
      <c r="L10" s="128"/>
    </row>
    <row r="11">
      <c r="A11" s="7">
        <v>9.0</v>
      </c>
      <c r="B11" s="8">
        <v>9.0812201E8</v>
      </c>
      <c r="C11" s="29" t="s">
        <v>80</v>
      </c>
      <c r="D11" s="122">
        <v>2.7004085E7</v>
      </c>
      <c r="E11" s="123">
        <v>8.0</v>
      </c>
      <c r="F11" s="124">
        <v>8.0</v>
      </c>
      <c r="G11" s="125">
        <f t="shared" si="1"/>
        <v>0</v>
      </c>
      <c r="H11" s="126">
        <v>45768.0</v>
      </c>
      <c r="I11" s="127" t="s">
        <v>14</v>
      </c>
      <c r="J11" s="126">
        <v>45769.0</v>
      </c>
      <c r="K11" s="38" t="s">
        <v>676</v>
      </c>
      <c r="L11" s="128"/>
    </row>
    <row r="12">
      <c r="A12" s="7">
        <v>10.0</v>
      </c>
      <c r="B12" s="8">
        <v>9.08122003E8</v>
      </c>
      <c r="C12" s="9" t="s">
        <v>574</v>
      </c>
      <c r="D12" s="122">
        <v>2.7004085E7</v>
      </c>
      <c r="E12" s="123">
        <v>8.0</v>
      </c>
      <c r="F12" s="124">
        <v>8.0</v>
      </c>
      <c r="G12" s="125">
        <f t="shared" si="1"/>
        <v>0</v>
      </c>
      <c r="H12" s="126">
        <v>45768.0</v>
      </c>
      <c r="I12" s="127" t="s">
        <v>14</v>
      </c>
      <c r="J12" s="126">
        <v>45769.0</v>
      </c>
      <c r="K12" s="38" t="s">
        <v>676</v>
      </c>
      <c r="L12" s="128"/>
    </row>
    <row r="13">
      <c r="A13" s="7">
        <v>11.0</v>
      </c>
      <c r="B13" s="8">
        <v>9.08202054E8</v>
      </c>
      <c r="C13" s="9" t="s">
        <v>455</v>
      </c>
      <c r="D13" s="122">
        <v>2.7004085E7</v>
      </c>
      <c r="E13" s="123">
        <v>2.0</v>
      </c>
      <c r="F13" s="124">
        <v>2.0</v>
      </c>
      <c r="G13" s="125">
        <f t="shared" si="1"/>
        <v>0</v>
      </c>
      <c r="H13" s="126">
        <v>45768.0</v>
      </c>
      <c r="I13" s="127" t="s">
        <v>14</v>
      </c>
      <c r="J13" s="126">
        <v>45769.0</v>
      </c>
      <c r="K13" s="38" t="s">
        <v>676</v>
      </c>
      <c r="L13" s="128"/>
    </row>
    <row r="14">
      <c r="A14" s="7">
        <v>12.0</v>
      </c>
      <c r="B14" s="8">
        <v>9.08111101E8</v>
      </c>
      <c r="C14" s="9" t="s">
        <v>452</v>
      </c>
      <c r="D14" s="122">
        <v>2.7004085E7</v>
      </c>
      <c r="E14" s="123">
        <v>4.0</v>
      </c>
      <c r="F14" s="124">
        <v>4.0</v>
      </c>
      <c r="G14" s="125">
        <f t="shared" si="1"/>
        <v>0</v>
      </c>
      <c r="H14" s="126">
        <v>45768.0</v>
      </c>
      <c r="I14" s="127" t="s">
        <v>14</v>
      </c>
      <c r="J14" s="126">
        <v>45769.0</v>
      </c>
      <c r="K14" s="38" t="s">
        <v>676</v>
      </c>
      <c r="L14" s="1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708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46.5" customHeight="1">
      <c r="A3" s="7">
        <v>1.0</v>
      </c>
      <c r="B3" s="8">
        <v>9.08421006E8</v>
      </c>
      <c r="C3" s="29" t="s">
        <v>315</v>
      </c>
      <c r="D3" s="122">
        <v>2.6693641E7</v>
      </c>
      <c r="E3" s="123">
        <v>4.0</v>
      </c>
      <c r="F3" s="124">
        <v>4.0</v>
      </c>
      <c r="G3" s="125">
        <f t="shared" ref="G3:G11" si="1">E3-F3</f>
        <v>0</v>
      </c>
      <c r="H3" s="126">
        <v>45693.0</v>
      </c>
      <c r="I3" s="127" t="s">
        <v>701</v>
      </c>
      <c r="J3" s="126">
        <v>45700.0</v>
      </c>
      <c r="K3" s="38"/>
      <c r="L3" s="128"/>
    </row>
    <row r="4" ht="46.5" customHeight="1">
      <c r="A4" s="7">
        <v>2.0</v>
      </c>
      <c r="B4" s="8">
        <v>9.08421005E8</v>
      </c>
      <c r="C4" s="29" t="s">
        <v>315</v>
      </c>
      <c r="D4" s="122">
        <v>2.6693641E7</v>
      </c>
      <c r="E4" s="123">
        <v>3.0</v>
      </c>
      <c r="F4" s="124">
        <v>3.0</v>
      </c>
      <c r="G4" s="125">
        <f t="shared" si="1"/>
        <v>0</v>
      </c>
      <c r="H4" s="126">
        <v>45693.0</v>
      </c>
      <c r="I4" s="127" t="s">
        <v>701</v>
      </c>
      <c r="J4" s="126">
        <v>45717.0</v>
      </c>
      <c r="K4" s="38" t="s">
        <v>676</v>
      </c>
      <c r="L4" s="128"/>
    </row>
    <row r="5" ht="75.75" customHeight="1">
      <c r="A5" s="7">
        <v>3.0</v>
      </c>
      <c r="B5" s="8">
        <v>9.08402206E8</v>
      </c>
      <c r="C5" s="29" t="s">
        <v>709</v>
      </c>
      <c r="D5" s="122">
        <v>2.6693641E7</v>
      </c>
      <c r="E5" s="123">
        <v>7.0</v>
      </c>
      <c r="F5" s="124">
        <f>4+3</f>
        <v>7</v>
      </c>
      <c r="G5" s="125">
        <f t="shared" si="1"/>
        <v>0</v>
      </c>
      <c r="H5" s="126">
        <v>45693.0</v>
      </c>
      <c r="I5" s="127" t="s">
        <v>701</v>
      </c>
      <c r="J5" s="158" t="s">
        <v>710</v>
      </c>
      <c r="K5" s="38"/>
      <c r="L5" s="128"/>
    </row>
    <row r="6" ht="48.75" customHeight="1">
      <c r="A6" s="7">
        <v>4.0</v>
      </c>
      <c r="B6" s="8">
        <v>9.08375005E8</v>
      </c>
      <c r="C6" s="29" t="s">
        <v>711</v>
      </c>
      <c r="D6" s="122">
        <v>2.6693641E7</v>
      </c>
      <c r="E6" s="123">
        <f>3+1</f>
        <v>4</v>
      </c>
      <c r="F6" s="124">
        <v>4.0</v>
      </c>
      <c r="G6" s="125">
        <f t="shared" si="1"/>
        <v>0</v>
      </c>
      <c r="H6" s="158" t="s">
        <v>712</v>
      </c>
      <c r="I6" s="127" t="s">
        <v>701</v>
      </c>
      <c r="J6" s="126">
        <v>45700.0</v>
      </c>
      <c r="K6" s="38"/>
      <c r="L6" s="128"/>
    </row>
    <row r="7" ht="39.0" customHeight="1">
      <c r="A7" s="7">
        <v>5.0</v>
      </c>
      <c r="B7" s="8">
        <v>9.08375E8</v>
      </c>
      <c r="C7" s="29" t="s">
        <v>232</v>
      </c>
      <c r="D7" s="122">
        <v>2.6693641E7</v>
      </c>
      <c r="E7" s="123">
        <v>3.0</v>
      </c>
      <c r="F7" s="124">
        <v>3.0</v>
      </c>
      <c r="G7" s="125">
        <f t="shared" si="1"/>
        <v>0</v>
      </c>
      <c r="H7" s="126">
        <v>45693.0</v>
      </c>
      <c r="I7" s="127" t="s">
        <v>701</v>
      </c>
      <c r="J7" s="126">
        <v>45717.0</v>
      </c>
      <c r="K7" s="38" t="s">
        <v>676</v>
      </c>
      <c r="L7" s="128"/>
    </row>
    <row r="8" ht="39.0" customHeight="1">
      <c r="A8" s="7">
        <v>8.0</v>
      </c>
      <c r="B8" s="8">
        <v>9.08501003E8</v>
      </c>
      <c r="C8" s="29" t="s">
        <v>713</v>
      </c>
      <c r="D8" s="122">
        <v>2.6693641E7</v>
      </c>
      <c r="E8" s="123">
        <v>12.0</v>
      </c>
      <c r="F8" s="124">
        <v>12.0</v>
      </c>
      <c r="G8" s="125">
        <f t="shared" si="1"/>
        <v>0</v>
      </c>
      <c r="H8" s="126">
        <v>45693.0</v>
      </c>
      <c r="I8" s="127" t="s">
        <v>701</v>
      </c>
      <c r="J8" s="126"/>
      <c r="K8" s="38"/>
      <c r="L8" s="128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39.0" customHeight="1">
      <c r="A9" s="7">
        <v>9.0</v>
      </c>
      <c r="B9" s="8">
        <v>9.0820203E8</v>
      </c>
      <c r="C9" s="9" t="s">
        <v>454</v>
      </c>
      <c r="D9" s="122">
        <v>2.6693641E7</v>
      </c>
      <c r="E9" s="123">
        <v>7.0</v>
      </c>
      <c r="F9" s="124">
        <f>8+5</f>
        <v>13</v>
      </c>
      <c r="G9" s="125">
        <f t="shared" si="1"/>
        <v>-6</v>
      </c>
      <c r="H9" s="126">
        <v>45693.0</v>
      </c>
      <c r="I9" s="127" t="s">
        <v>701</v>
      </c>
      <c r="J9" s="126">
        <v>45700.0</v>
      </c>
      <c r="K9" s="38" t="s">
        <v>676</v>
      </c>
      <c r="L9" s="128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9.0" customHeight="1">
      <c r="A10" s="7">
        <v>10.0</v>
      </c>
      <c r="B10" s="8">
        <v>9.08202189E8</v>
      </c>
      <c r="C10" s="9" t="s">
        <v>55</v>
      </c>
      <c r="D10" s="122">
        <v>2.6693641E7</v>
      </c>
      <c r="E10" s="123">
        <v>6.0</v>
      </c>
      <c r="F10" s="124">
        <v>6.0</v>
      </c>
      <c r="G10" s="125">
        <f t="shared" si="1"/>
        <v>0</v>
      </c>
      <c r="H10" s="126">
        <v>45693.0</v>
      </c>
      <c r="I10" s="127" t="s">
        <v>701</v>
      </c>
      <c r="J10" s="126">
        <v>45717.0</v>
      </c>
      <c r="K10" s="38" t="s">
        <v>676</v>
      </c>
      <c r="L10" s="128"/>
    </row>
    <row r="11" ht="39.0" customHeight="1">
      <c r="A11" s="7">
        <v>11.0</v>
      </c>
      <c r="B11" s="8">
        <v>9.08202054E8</v>
      </c>
      <c r="C11" s="9" t="s">
        <v>455</v>
      </c>
      <c r="D11" s="122">
        <v>2.6693641E7</v>
      </c>
      <c r="E11" s="123">
        <v>4.0</v>
      </c>
      <c r="F11" s="124">
        <v>4.0</v>
      </c>
      <c r="G11" s="125">
        <f t="shared" si="1"/>
        <v>0</v>
      </c>
      <c r="H11" s="126">
        <v>45693.0</v>
      </c>
      <c r="I11" s="127" t="s">
        <v>701</v>
      </c>
      <c r="J11" s="126"/>
      <c r="K11" s="38"/>
      <c r="L11" s="128"/>
    </row>
    <row r="12" ht="39.0" customHeight="1">
      <c r="A12" s="7">
        <v>12.0</v>
      </c>
      <c r="B12" s="8">
        <v>9.08111101E8</v>
      </c>
      <c r="C12" s="9" t="s">
        <v>452</v>
      </c>
      <c r="D12" s="122">
        <v>2.6693641E7</v>
      </c>
      <c r="E12" s="123"/>
      <c r="F12" s="124">
        <f>8+4</f>
        <v>12</v>
      </c>
      <c r="G12" s="125" t="s">
        <v>341</v>
      </c>
      <c r="H12" s="126">
        <v>45693.0</v>
      </c>
      <c r="I12" s="127" t="s">
        <v>701</v>
      </c>
      <c r="J12" s="126">
        <v>45717.0</v>
      </c>
      <c r="K12" s="38" t="s">
        <v>676</v>
      </c>
      <c r="L12" s="128"/>
    </row>
    <row r="13" ht="39.0" customHeight="1">
      <c r="A13" s="7">
        <v>13.0</v>
      </c>
      <c r="B13" s="8">
        <v>9.08122008E8</v>
      </c>
      <c r="C13" s="9" t="s">
        <v>79</v>
      </c>
      <c r="D13" s="122">
        <v>2.6693641E7</v>
      </c>
      <c r="E13" s="123">
        <v>20.0</v>
      </c>
      <c r="F13" s="124">
        <v>16.0</v>
      </c>
      <c r="G13" s="125">
        <f t="shared" ref="G13:G17" si="2">E13-F13</f>
        <v>4</v>
      </c>
      <c r="H13" s="126">
        <v>45693.0</v>
      </c>
      <c r="I13" s="127" t="s">
        <v>701</v>
      </c>
      <c r="J13" s="126"/>
      <c r="K13" s="38"/>
      <c r="L13" s="17"/>
    </row>
    <row r="14" ht="39.0" customHeight="1">
      <c r="A14" s="7">
        <v>14.0</v>
      </c>
      <c r="B14" s="8">
        <v>9.08122037E8</v>
      </c>
      <c r="C14" s="9" t="s">
        <v>460</v>
      </c>
      <c r="D14" s="122">
        <v>2.6693641E7</v>
      </c>
      <c r="E14" s="123">
        <v>28.0</v>
      </c>
      <c r="F14" s="124">
        <f>16+12</f>
        <v>28</v>
      </c>
      <c r="G14" s="125">
        <f t="shared" si="2"/>
        <v>0</v>
      </c>
      <c r="H14" s="126">
        <v>45693.0</v>
      </c>
      <c r="I14" s="127" t="s">
        <v>701</v>
      </c>
      <c r="J14" s="126">
        <v>45717.0</v>
      </c>
      <c r="K14" s="38" t="s">
        <v>676</v>
      </c>
      <c r="L14" s="17"/>
    </row>
    <row r="15" ht="42.75" customHeight="1">
      <c r="A15" s="7">
        <v>15.0</v>
      </c>
      <c r="B15" s="8">
        <v>9.0812101E8</v>
      </c>
      <c r="C15" s="9" t="s">
        <v>450</v>
      </c>
      <c r="D15" s="122">
        <v>2.6693641E7</v>
      </c>
      <c r="E15" s="123">
        <v>4.0</v>
      </c>
      <c r="F15" s="124">
        <v>4.0</v>
      </c>
      <c r="G15" s="125">
        <f t="shared" si="2"/>
        <v>0</v>
      </c>
      <c r="H15" s="126">
        <v>45693.0</v>
      </c>
      <c r="I15" s="127" t="s">
        <v>701</v>
      </c>
      <c r="J15" s="126">
        <v>45717.0</v>
      </c>
      <c r="K15" s="38" t="s">
        <v>676</v>
      </c>
      <c r="L15" s="17"/>
    </row>
    <row r="16" ht="42.75" customHeight="1">
      <c r="A16" s="7">
        <v>16.0</v>
      </c>
      <c r="B16" s="8">
        <v>9.08122011E8</v>
      </c>
      <c r="C16" s="9" t="s">
        <v>23</v>
      </c>
      <c r="D16" s="122">
        <v>2.6693641E7</v>
      </c>
      <c r="E16" s="123">
        <v>15.0</v>
      </c>
      <c r="F16" s="124">
        <v>12.0</v>
      </c>
      <c r="G16" s="125">
        <f t="shared" si="2"/>
        <v>3</v>
      </c>
      <c r="H16" s="126">
        <v>45693.0</v>
      </c>
      <c r="I16" s="127" t="s">
        <v>701</v>
      </c>
      <c r="J16" s="126">
        <v>45717.0</v>
      </c>
      <c r="K16" s="38" t="s">
        <v>676</v>
      </c>
      <c r="L16" s="17"/>
    </row>
    <row r="17" ht="35.25" customHeight="1">
      <c r="A17" s="7">
        <v>17.0</v>
      </c>
      <c r="B17" s="8">
        <v>9.08501001E8</v>
      </c>
      <c r="C17" s="9" t="s">
        <v>447</v>
      </c>
      <c r="D17" s="122">
        <v>2.6693641E7</v>
      </c>
      <c r="E17" s="123">
        <v>9.0</v>
      </c>
      <c r="F17" s="124">
        <v>9.0</v>
      </c>
      <c r="G17" s="125">
        <f t="shared" si="2"/>
        <v>0</v>
      </c>
      <c r="H17" s="126">
        <v>45693.0</v>
      </c>
      <c r="I17" s="127" t="s">
        <v>701</v>
      </c>
      <c r="J17" s="126">
        <v>45717.0</v>
      </c>
      <c r="K17" s="38" t="s">
        <v>676</v>
      </c>
      <c r="L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714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46.5" customHeight="1">
      <c r="A3" s="7">
        <v>1.0</v>
      </c>
      <c r="B3" s="8">
        <v>9.08020201E8</v>
      </c>
      <c r="C3" s="29" t="s">
        <v>13</v>
      </c>
      <c r="D3" s="122"/>
      <c r="E3" s="123"/>
      <c r="F3" s="124"/>
      <c r="G3" s="125"/>
      <c r="H3" s="126"/>
      <c r="I3" s="127"/>
      <c r="J3" s="126"/>
      <c r="K3" s="38"/>
      <c r="L3" s="128"/>
    </row>
    <row r="4" ht="39.0" customHeight="1">
      <c r="A4" s="7">
        <v>2.0</v>
      </c>
      <c r="B4" s="8">
        <v>9.08421005E8</v>
      </c>
      <c r="C4" s="29" t="s">
        <v>315</v>
      </c>
      <c r="D4" s="122">
        <v>2.665935E7</v>
      </c>
      <c r="E4" s="123">
        <v>1.0</v>
      </c>
      <c r="F4" s="124">
        <v>1.0</v>
      </c>
      <c r="G4" s="125">
        <f t="shared" ref="G4:G15" si="1">E4-F4</f>
        <v>0</v>
      </c>
      <c r="H4" s="126">
        <v>45690.0</v>
      </c>
      <c r="I4" s="127" t="s">
        <v>14</v>
      </c>
      <c r="J4" s="126">
        <v>45700.0</v>
      </c>
      <c r="K4" s="38" t="s">
        <v>676</v>
      </c>
      <c r="L4" s="128"/>
    </row>
    <row r="5" ht="39.0" customHeight="1">
      <c r="A5" s="7">
        <v>3.0</v>
      </c>
      <c r="B5" s="8">
        <v>9.08421001E8</v>
      </c>
      <c r="C5" s="29" t="s">
        <v>715</v>
      </c>
      <c r="D5" s="122">
        <v>2.665935E7</v>
      </c>
      <c r="E5" s="123">
        <v>1.0</v>
      </c>
      <c r="F5" s="124">
        <v>1.0</v>
      </c>
      <c r="G5" s="125">
        <f t="shared" si="1"/>
        <v>0</v>
      </c>
      <c r="H5" s="126">
        <v>45690.0</v>
      </c>
      <c r="I5" s="127" t="s">
        <v>14</v>
      </c>
      <c r="J5" s="126">
        <v>45700.0</v>
      </c>
      <c r="K5" s="38" t="s">
        <v>676</v>
      </c>
      <c r="L5" s="128"/>
    </row>
    <row r="6" ht="39.0" customHeight="1">
      <c r="A6" s="7">
        <v>4.0</v>
      </c>
      <c r="B6" s="8">
        <v>9.08375E8</v>
      </c>
      <c r="C6" s="29" t="s">
        <v>716</v>
      </c>
      <c r="D6" s="122">
        <v>2.665935E7</v>
      </c>
      <c r="E6" s="123">
        <v>1.0</v>
      </c>
      <c r="F6" s="124">
        <v>1.0</v>
      </c>
      <c r="G6" s="125">
        <f t="shared" si="1"/>
        <v>0</v>
      </c>
      <c r="H6" s="126">
        <v>45690.0</v>
      </c>
      <c r="I6" s="127" t="s">
        <v>14</v>
      </c>
      <c r="J6" s="126">
        <v>45700.0</v>
      </c>
      <c r="K6" s="38" t="s">
        <v>676</v>
      </c>
      <c r="L6" s="128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9.0" customHeight="1">
      <c r="A7" s="7">
        <v>5.0</v>
      </c>
      <c r="B7" s="8">
        <v>9.08501001E8</v>
      </c>
      <c r="C7" s="29" t="s">
        <v>447</v>
      </c>
      <c r="D7" s="122">
        <v>2.665935E7</v>
      </c>
      <c r="E7" s="123">
        <v>3.0</v>
      </c>
      <c r="F7" s="124">
        <v>3.0</v>
      </c>
      <c r="G7" s="125">
        <f t="shared" si="1"/>
        <v>0</v>
      </c>
      <c r="H7" s="126">
        <v>45690.0</v>
      </c>
      <c r="I7" s="127" t="s">
        <v>14</v>
      </c>
      <c r="J7" s="126">
        <v>45700.0</v>
      </c>
      <c r="K7" s="38" t="s">
        <v>676</v>
      </c>
      <c r="L7" s="128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9.0" customHeight="1">
      <c r="A8" s="7">
        <v>6.0</v>
      </c>
      <c r="B8" s="8">
        <v>9.08402208E8</v>
      </c>
      <c r="C8" s="29" t="s">
        <v>111</v>
      </c>
      <c r="D8" s="122">
        <v>2.665935E7</v>
      </c>
      <c r="E8" s="123">
        <v>1.0</v>
      </c>
      <c r="F8" s="124">
        <v>1.0</v>
      </c>
      <c r="G8" s="125">
        <f t="shared" si="1"/>
        <v>0</v>
      </c>
      <c r="H8" s="126">
        <v>45690.0</v>
      </c>
      <c r="I8" s="127" t="s">
        <v>14</v>
      </c>
      <c r="J8" s="126">
        <v>45700.0</v>
      </c>
      <c r="K8" s="38" t="s">
        <v>676</v>
      </c>
      <c r="L8" s="128"/>
    </row>
    <row r="9" ht="39.0" customHeight="1">
      <c r="A9" s="7">
        <v>7.0</v>
      </c>
      <c r="B9" s="8">
        <v>9.08371003E8</v>
      </c>
      <c r="C9" s="29" t="s">
        <v>717</v>
      </c>
      <c r="D9" s="122">
        <v>2.665935E7</v>
      </c>
      <c r="E9" s="123">
        <v>1.0</v>
      </c>
      <c r="F9" s="124">
        <v>1.0</v>
      </c>
      <c r="G9" s="125">
        <f t="shared" si="1"/>
        <v>0</v>
      </c>
      <c r="H9" s="126">
        <v>45690.0</v>
      </c>
      <c r="I9" s="127" t="s">
        <v>14</v>
      </c>
      <c r="J9" s="126">
        <v>45700.0</v>
      </c>
      <c r="K9" s="38" t="s">
        <v>676</v>
      </c>
      <c r="L9" s="128"/>
    </row>
    <row r="10" ht="39.0" customHeight="1">
      <c r="A10" s="7">
        <v>8.0</v>
      </c>
      <c r="B10" s="8">
        <v>9.0820203E8</v>
      </c>
      <c r="C10" s="9" t="s">
        <v>454</v>
      </c>
      <c r="D10" s="122">
        <v>2.665935E7</v>
      </c>
      <c r="E10" s="123">
        <v>2.0</v>
      </c>
      <c r="F10" s="124">
        <v>6.0</v>
      </c>
      <c r="G10" s="125">
        <f t="shared" si="1"/>
        <v>-4</v>
      </c>
      <c r="H10" s="126">
        <v>45690.0</v>
      </c>
      <c r="I10" s="127" t="s">
        <v>14</v>
      </c>
      <c r="J10" s="126">
        <v>45700.0</v>
      </c>
      <c r="K10" s="38" t="s">
        <v>676</v>
      </c>
      <c r="L10" s="128"/>
    </row>
    <row r="11" ht="39.0" customHeight="1">
      <c r="A11" s="7">
        <v>10.0</v>
      </c>
      <c r="B11" s="8">
        <v>9.0812201E8</v>
      </c>
      <c r="C11" s="29" t="s">
        <v>80</v>
      </c>
      <c r="D11" s="122">
        <v>2.665935E7</v>
      </c>
      <c r="E11" s="123">
        <v>8.0</v>
      </c>
      <c r="F11" s="124">
        <v>8.0</v>
      </c>
      <c r="G11" s="125">
        <f t="shared" si="1"/>
        <v>0</v>
      </c>
      <c r="H11" s="126">
        <v>45690.0</v>
      </c>
      <c r="I11" s="127" t="s">
        <v>14</v>
      </c>
      <c r="J11" s="126">
        <v>45700.0</v>
      </c>
      <c r="K11" s="38" t="s">
        <v>676</v>
      </c>
      <c r="L11" s="17"/>
    </row>
    <row r="12" ht="39.0" customHeight="1">
      <c r="A12" s="7">
        <v>11.0</v>
      </c>
      <c r="B12" s="8">
        <v>9.08202189E8</v>
      </c>
      <c r="C12" s="9" t="s">
        <v>55</v>
      </c>
      <c r="D12" s="122">
        <v>2.665935E7</v>
      </c>
      <c r="E12" s="123">
        <v>1.0</v>
      </c>
      <c r="F12" s="124">
        <v>1.0</v>
      </c>
      <c r="G12" s="125">
        <f t="shared" si="1"/>
        <v>0</v>
      </c>
      <c r="H12" s="126">
        <v>45690.0</v>
      </c>
      <c r="I12" s="127" t="s">
        <v>14</v>
      </c>
      <c r="J12" s="126">
        <v>45700.0</v>
      </c>
      <c r="K12" s="38" t="s">
        <v>676</v>
      </c>
      <c r="L12" s="17"/>
    </row>
    <row r="13" ht="42.75" customHeight="1">
      <c r="A13" s="7">
        <v>12.0</v>
      </c>
      <c r="B13" s="8">
        <v>9.08202054E8</v>
      </c>
      <c r="C13" s="9" t="s">
        <v>455</v>
      </c>
      <c r="D13" s="122">
        <v>2.665935E7</v>
      </c>
      <c r="E13" s="123">
        <v>1.0</v>
      </c>
      <c r="F13" s="124">
        <v>1.0</v>
      </c>
      <c r="G13" s="125">
        <f t="shared" si="1"/>
        <v>0</v>
      </c>
      <c r="H13" s="126">
        <v>45690.0</v>
      </c>
      <c r="I13" s="127" t="s">
        <v>14</v>
      </c>
      <c r="J13" s="126">
        <v>45700.0</v>
      </c>
      <c r="K13" s="38" t="s">
        <v>676</v>
      </c>
      <c r="L13" s="17"/>
    </row>
    <row r="14" ht="42.75" customHeight="1">
      <c r="A14" s="7">
        <v>13.0</v>
      </c>
      <c r="B14" s="8">
        <v>9.08111101E8</v>
      </c>
      <c r="C14" s="9" t="s">
        <v>452</v>
      </c>
      <c r="D14" s="122">
        <v>2.665935E7</v>
      </c>
      <c r="E14" s="123">
        <v>4.0</v>
      </c>
      <c r="F14" s="124">
        <v>4.0</v>
      </c>
      <c r="G14" s="125">
        <f t="shared" si="1"/>
        <v>0</v>
      </c>
      <c r="H14" s="126">
        <v>45690.0</v>
      </c>
      <c r="I14" s="127" t="s">
        <v>14</v>
      </c>
      <c r="J14" s="126">
        <v>45700.0</v>
      </c>
      <c r="K14" s="38" t="s">
        <v>676</v>
      </c>
      <c r="L14" s="17"/>
    </row>
    <row r="15" ht="35.25" customHeight="1">
      <c r="A15" s="7">
        <v>14.0</v>
      </c>
      <c r="B15" s="8">
        <v>9.08122039E8</v>
      </c>
      <c r="C15" s="9" t="s">
        <v>130</v>
      </c>
      <c r="D15" s="122">
        <v>2.665935E7</v>
      </c>
      <c r="E15" s="123"/>
      <c r="F15" s="124">
        <v>4.0</v>
      </c>
      <c r="G15" s="125">
        <f t="shared" si="1"/>
        <v>-4</v>
      </c>
      <c r="H15" s="126"/>
      <c r="I15" s="127"/>
      <c r="J15" s="126">
        <v>45700.0</v>
      </c>
      <c r="K15" s="38" t="s">
        <v>676</v>
      </c>
      <c r="L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718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2.6672465E7</v>
      </c>
      <c r="E3" s="7"/>
      <c r="F3" s="11"/>
      <c r="G3" s="12">
        <f t="shared" ref="G3:G13" si="1">E3-F3</f>
        <v>0</v>
      </c>
      <c r="H3" s="13">
        <v>45690.0</v>
      </c>
      <c r="I3" s="14" t="s">
        <v>14</v>
      </c>
      <c r="J3" s="15"/>
      <c r="K3" s="7" t="s">
        <v>294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2.6672465E7</v>
      </c>
      <c r="E4" s="7">
        <v>2.0</v>
      </c>
      <c r="F4" s="11">
        <v>2.0</v>
      </c>
      <c r="G4" s="12">
        <f t="shared" si="1"/>
        <v>0</v>
      </c>
      <c r="H4" s="13">
        <v>45690.0</v>
      </c>
      <c r="I4" s="14" t="s">
        <v>14</v>
      </c>
      <c r="J4" s="15">
        <v>45697.0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2.6672465E7</v>
      </c>
      <c r="E5" s="7">
        <v>2.0</v>
      </c>
      <c r="F5" s="11">
        <f>1+1</f>
        <v>2</v>
      </c>
      <c r="G5" s="12">
        <f t="shared" si="1"/>
        <v>0</v>
      </c>
      <c r="H5" s="13">
        <v>45690.0</v>
      </c>
      <c r="I5" s="14" t="s">
        <v>14</v>
      </c>
      <c r="J5" s="30" t="s">
        <v>719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2.6672465E7</v>
      </c>
      <c r="E6" s="7">
        <v>2.0</v>
      </c>
      <c r="F6" s="11">
        <v>2.0</v>
      </c>
      <c r="G6" s="12">
        <f t="shared" si="1"/>
        <v>0</v>
      </c>
      <c r="H6" s="13">
        <v>45690.0</v>
      </c>
      <c r="I6" s="14" t="s">
        <v>14</v>
      </c>
      <c r="J6" s="15">
        <v>45697.0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0">
        <v>2.6672465E7</v>
      </c>
      <c r="E7" s="7">
        <v>2.0</v>
      </c>
      <c r="F7" s="11">
        <v>2.0</v>
      </c>
      <c r="G7" s="12">
        <f t="shared" si="1"/>
        <v>0</v>
      </c>
      <c r="H7" s="13">
        <v>45690.0</v>
      </c>
      <c r="I7" s="14" t="s">
        <v>14</v>
      </c>
      <c r="J7" s="15">
        <v>45697.0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2.6672465E7</v>
      </c>
      <c r="E8" s="7">
        <v>2.0</v>
      </c>
      <c r="F8" s="11">
        <v>2.0</v>
      </c>
      <c r="G8" s="12">
        <f t="shared" si="1"/>
        <v>0</v>
      </c>
      <c r="H8" s="13">
        <v>45690.0</v>
      </c>
      <c r="I8" s="14" t="s">
        <v>14</v>
      </c>
      <c r="J8" s="15">
        <v>45697.0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2.6672465E7</v>
      </c>
      <c r="E9" s="7">
        <v>1.0</v>
      </c>
      <c r="F9" s="11">
        <v>1.0</v>
      </c>
      <c r="G9" s="12">
        <f t="shared" si="1"/>
        <v>0</v>
      </c>
      <c r="H9" s="13">
        <v>45690.0</v>
      </c>
      <c r="I9" s="14" t="s">
        <v>14</v>
      </c>
      <c r="J9" s="15">
        <v>45696.0</v>
      </c>
      <c r="K9" s="7" t="s">
        <v>294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2.6672465E7</v>
      </c>
      <c r="E10" s="7">
        <v>3.0</v>
      </c>
      <c r="F10" s="11">
        <v>6.0</v>
      </c>
      <c r="G10" s="12">
        <f t="shared" si="1"/>
        <v>-3</v>
      </c>
      <c r="H10" s="13">
        <v>45690.0</v>
      </c>
      <c r="I10" s="14" t="s">
        <v>14</v>
      </c>
      <c r="J10" s="15">
        <v>45703.0</v>
      </c>
      <c r="K10" s="7" t="s">
        <v>294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2.6672465E7</v>
      </c>
      <c r="E11" s="7">
        <v>90.0</v>
      </c>
      <c r="F11" s="11">
        <v>88.0</v>
      </c>
      <c r="G11" s="12">
        <f t="shared" si="1"/>
        <v>2</v>
      </c>
      <c r="H11" s="13">
        <v>45690.0</v>
      </c>
      <c r="I11" s="14" t="s">
        <v>14</v>
      </c>
      <c r="J11" s="15">
        <v>45696.0</v>
      </c>
      <c r="K11" s="7" t="s">
        <v>294</v>
      </c>
      <c r="L11" s="9"/>
    </row>
    <row r="12">
      <c r="A12" s="7">
        <v>10.0</v>
      </c>
      <c r="B12" s="8">
        <v>9.08111005E8</v>
      </c>
      <c r="C12" s="9" t="s">
        <v>608</v>
      </c>
      <c r="D12" s="10">
        <v>2.6672465E7</v>
      </c>
      <c r="E12" s="7">
        <v>26.0</v>
      </c>
      <c r="F12" s="11">
        <v>26.0</v>
      </c>
      <c r="G12" s="12">
        <f t="shared" si="1"/>
        <v>0</v>
      </c>
      <c r="H12" s="13">
        <v>45690.0</v>
      </c>
      <c r="I12" s="14" t="s">
        <v>14</v>
      </c>
      <c r="J12" s="15">
        <v>45696.0</v>
      </c>
      <c r="K12" s="7" t="s">
        <v>294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2.6672465E7</v>
      </c>
      <c r="E13" s="7">
        <v>6.0</v>
      </c>
      <c r="F13" s="11">
        <v>6.0</v>
      </c>
      <c r="G13" s="12">
        <f t="shared" si="1"/>
        <v>0</v>
      </c>
      <c r="H13" s="13">
        <v>45690.0</v>
      </c>
      <c r="I13" s="14" t="s">
        <v>14</v>
      </c>
      <c r="J13" s="15">
        <v>45697.0</v>
      </c>
      <c r="K13" s="7" t="s">
        <v>294</v>
      </c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79.43"/>
    <col customWidth="1" min="4" max="4" width="25.0"/>
    <col customWidth="1" min="5" max="5" width="22.57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720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562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39.0" customHeight="1">
      <c r="A3" s="7">
        <v>1.0</v>
      </c>
      <c r="B3" s="8">
        <v>9.08421001E8</v>
      </c>
      <c r="C3" s="29" t="s">
        <v>532</v>
      </c>
      <c r="D3" s="122">
        <v>2.6676053E7</v>
      </c>
      <c r="E3" s="123">
        <v>1.0</v>
      </c>
      <c r="F3" s="124"/>
      <c r="G3" s="125">
        <f t="shared" ref="G3:G12" si="1">E3-F3</f>
        <v>1</v>
      </c>
      <c r="H3" s="126">
        <v>45691.0</v>
      </c>
      <c r="I3" s="127" t="s">
        <v>14</v>
      </c>
      <c r="J3" s="126"/>
      <c r="K3" s="38"/>
      <c r="L3" s="128"/>
    </row>
    <row r="4" ht="39.0" customHeight="1">
      <c r="A4" s="7">
        <v>2.0</v>
      </c>
      <c r="B4" s="8">
        <v>9.08421003E8</v>
      </c>
      <c r="C4" s="29" t="s">
        <v>601</v>
      </c>
      <c r="D4" s="122">
        <v>2.6676053E7</v>
      </c>
      <c r="E4" s="123">
        <v>1.0</v>
      </c>
      <c r="F4" s="124"/>
      <c r="G4" s="123">
        <f t="shared" si="1"/>
        <v>1</v>
      </c>
      <c r="H4" s="126">
        <v>45691.0</v>
      </c>
      <c r="I4" s="127" t="s">
        <v>14</v>
      </c>
      <c r="J4" s="129"/>
      <c r="K4" s="19"/>
      <c r="L4" s="128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39.0" customHeight="1">
      <c r="A5" s="7">
        <v>3.0</v>
      </c>
      <c r="B5" s="8">
        <v>9.08402208E8</v>
      </c>
      <c r="C5" s="29" t="s">
        <v>111</v>
      </c>
      <c r="D5" s="122">
        <v>2.6676053E7</v>
      </c>
      <c r="E5" s="123">
        <v>5.0</v>
      </c>
      <c r="F5" s="124"/>
      <c r="G5" s="123">
        <f t="shared" si="1"/>
        <v>5</v>
      </c>
      <c r="H5" s="126">
        <v>45691.0</v>
      </c>
      <c r="I5" s="127" t="s">
        <v>14</v>
      </c>
      <c r="J5" s="126"/>
      <c r="K5" s="38"/>
      <c r="L5" s="128"/>
    </row>
    <row r="6" ht="39.0" customHeight="1">
      <c r="A6" s="7">
        <v>4.0</v>
      </c>
      <c r="B6" s="8">
        <v>9.08371012E8</v>
      </c>
      <c r="C6" s="29" t="s">
        <v>669</v>
      </c>
      <c r="D6" s="122">
        <v>2.6676053E7</v>
      </c>
      <c r="E6" s="123">
        <v>5.0</v>
      </c>
      <c r="F6" s="124"/>
      <c r="G6" s="123">
        <f t="shared" si="1"/>
        <v>5</v>
      </c>
      <c r="H6" s="126">
        <v>45691.0</v>
      </c>
      <c r="I6" s="127" t="s">
        <v>14</v>
      </c>
      <c r="J6" s="126" t="s">
        <v>341</v>
      </c>
      <c r="K6" s="38" t="s">
        <v>341</v>
      </c>
      <c r="L6" s="128"/>
    </row>
    <row r="7" ht="39.0" customHeight="1">
      <c r="A7" s="7">
        <v>5.0</v>
      </c>
      <c r="B7" s="8">
        <v>9.0820203E8</v>
      </c>
      <c r="C7" s="9" t="s">
        <v>454</v>
      </c>
      <c r="D7" s="122">
        <v>2.6676053E7</v>
      </c>
      <c r="E7" s="123">
        <v>6.0</v>
      </c>
      <c r="F7" s="124"/>
      <c r="G7" s="123">
        <f t="shared" si="1"/>
        <v>6</v>
      </c>
      <c r="H7" s="126">
        <v>45691.0</v>
      </c>
      <c r="I7" s="127" t="s">
        <v>14</v>
      </c>
      <c r="J7" s="126"/>
      <c r="K7" s="38"/>
      <c r="L7" s="128"/>
    </row>
    <row r="8" ht="39.0" customHeight="1">
      <c r="A8" s="7">
        <v>6.0</v>
      </c>
      <c r="B8" s="8">
        <v>9.08122003E8</v>
      </c>
      <c r="C8" s="9" t="s">
        <v>574</v>
      </c>
      <c r="D8" s="122">
        <v>2.6676053E7</v>
      </c>
      <c r="E8" s="123">
        <v>16.0</v>
      </c>
      <c r="F8" s="124"/>
      <c r="G8" s="125">
        <f t="shared" si="1"/>
        <v>16</v>
      </c>
      <c r="H8" s="126">
        <v>45691.0</v>
      </c>
      <c r="I8" s="127" t="s">
        <v>14</v>
      </c>
      <c r="J8" s="126"/>
      <c r="K8" s="38"/>
      <c r="L8" s="17"/>
    </row>
    <row r="9" ht="39.0" customHeight="1">
      <c r="A9" s="7">
        <v>7.0</v>
      </c>
      <c r="B9" s="8">
        <v>9.0812201E8</v>
      </c>
      <c r="C9" s="29" t="s">
        <v>80</v>
      </c>
      <c r="D9" s="122">
        <v>2.6676053E7</v>
      </c>
      <c r="E9" s="123">
        <v>16.0</v>
      </c>
      <c r="F9" s="124"/>
      <c r="G9" s="125">
        <f t="shared" si="1"/>
        <v>16</v>
      </c>
      <c r="H9" s="126">
        <v>45691.0</v>
      </c>
      <c r="I9" s="127" t="s">
        <v>14</v>
      </c>
      <c r="J9" s="126"/>
      <c r="K9" s="38"/>
      <c r="L9" s="17"/>
    </row>
    <row r="10" ht="39.0" customHeight="1">
      <c r="A10" s="7">
        <v>8.0</v>
      </c>
      <c r="B10" s="8">
        <v>9.08202189E8</v>
      </c>
      <c r="C10" s="9" t="s">
        <v>55</v>
      </c>
      <c r="D10" s="122">
        <v>2.6676053E7</v>
      </c>
      <c r="E10" s="123">
        <v>2.0</v>
      </c>
      <c r="F10" s="124">
        <v>6.0</v>
      </c>
      <c r="G10" s="125">
        <f t="shared" si="1"/>
        <v>-4</v>
      </c>
      <c r="H10" s="126">
        <v>45691.0</v>
      </c>
      <c r="I10" s="127" t="s">
        <v>14</v>
      </c>
      <c r="J10" s="126"/>
      <c r="K10" s="38"/>
      <c r="L10" s="17"/>
    </row>
    <row r="11" ht="42.75" customHeight="1">
      <c r="A11" s="7">
        <v>9.0</v>
      </c>
      <c r="B11" s="8">
        <v>9.08202054E8</v>
      </c>
      <c r="C11" s="9" t="s">
        <v>455</v>
      </c>
      <c r="D11" s="122">
        <v>2.6676053E7</v>
      </c>
      <c r="E11" s="123">
        <v>2.0</v>
      </c>
      <c r="F11" s="124"/>
      <c r="G11" s="125">
        <f t="shared" si="1"/>
        <v>2</v>
      </c>
      <c r="H11" s="126">
        <v>45691.0</v>
      </c>
      <c r="I11" s="127" t="s">
        <v>14</v>
      </c>
      <c r="J11" s="17"/>
      <c r="K11" s="17"/>
      <c r="L11" s="17"/>
    </row>
    <row r="12" ht="42.75" customHeight="1">
      <c r="A12" s="7">
        <v>10.0</v>
      </c>
      <c r="B12" s="8">
        <v>9.08111101E8</v>
      </c>
      <c r="C12" s="9" t="s">
        <v>452</v>
      </c>
      <c r="D12" s="122">
        <v>2.6676053E7</v>
      </c>
      <c r="E12" s="123">
        <v>4.0</v>
      </c>
      <c r="F12" s="124"/>
      <c r="G12" s="125">
        <f t="shared" si="1"/>
        <v>4</v>
      </c>
      <c r="H12" s="126">
        <v>45691.0</v>
      </c>
      <c r="I12" s="127" t="s">
        <v>14</v>
      </c>
      <c r="J12" s="17"/>
      <c r="K12" s="17"/>
      <c r="L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0.43"/>
    <col customWidth="1" min="3" max="3" width="83.86"/>
    <col customWidth="1" min="4" max="4" width="32.57"/>
    <col customWidth="1" min="5" max="5" width="29.0"/>
    <col customWidth="1" min="6" max="6" width="15.57"/>
    <col customWidth="1" min="7" max="7" width="17.0"/>
    <col customWidth="1" min="8" max="8" width="27.29"/>
    <col customWidth="1" min="9" max="9" width="28.29"/>
    <col customWidth="1" min="10" max="10" width="31.29"/>
    <col customWidth="1" min="11" max="11" width="30.43"/>
    <col customWidth="1" min="12" max="12" width="38.57"/>
    <col customWidth="1" min="13" max="26" width="8.71"/>
  </cols>
  <sheetData>
    <row r="1">
      <c r="A1" s="1" t="s">
        <v>721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56.25" customHeight="1">
      <c r="A2" s="4" t="s">
        <v>1</v>
      </c>
      <c r="B2" s="5" t="s">
        <v>2</v>
      </c>
      <c r="C2" s="4" t="s">
        <v>722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 ht="55.5" customHeight="1">
      <c r="A3" s="7">
        <v>1.0</v>
      </c>
      <c r="B3" s="8">
        <v>9.0812115E8</v>
      </c>
      <c r="C3" s="9" t="s">
        <v>723</v>
      </c>
      <c r="D3" s="159" t="s">
        <v>724</v>
      </c>
      <c r="E3" s="123">
        <v>8.0</v>
      </c>
      <c r="F3" s="124">
        <f>1+2+5</f>
        <v>8</v>
      </c>
      <c r="G3" s="125">
        <f t="shared" ref="G3:G16" si="1">E3-F3</f>
        <v>0</v>
      </c>
      <c r="H3" s="126">
        <v>45684.0</v>
      </c>
      <c r="I3" s="127" t="s">
        <v>701</v>
      </c>
      <c r="J3" s="158" t="s">
        <v>725</v>
      </c>
      <c r="K3" s="38" t="s">
        <v>726</v>
      </c>
      <c r="L3" s="128" t="s">
        <v>727</v>
      </c>
    </row>
    <row r="4" ht="79.5" customHeight="1">
      <c r="A4" s="7">
        <v>2.0</v>
      </c>
      <c r="B4" s="19">
        <v>9.08121144E8</v>
      </c>
      <c r="C4" s="20" t="s">
        <v>728</v>
      </c>
      <c r="D4" s="159" t="s">
        <v>724</v>
      </c>
      <c r="E4" s="123">
        <v>13.0</v>
      </c>
      <c r="F4" s="124">
        <f>1+1+1+2+2+3+3</f>
        <v>13</v>
      </c>
      <c r="G4" s="123">
        <f t="shared" si="1"/>
        <v>0</v>
      </c>
      <c r="H4" s="126">
        <v>45684.0</v>
      </c>
      <c r="I4" s="127" t="s">
        <v>701</v>
      </c>
      <c r="J4" s="148" t="s">
        <v>729</v>
      </c>
      <c r="K4" s="160" t="s">
        <v>730</v>
      </c>
      <c r="L4" s="128" t="s">
        <v>727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59.25" customHeight="1">
      <c r="A5" s="7">
        <v>3.0</v>
      </c>
      <c r="B5" s="8" t="s">
        <v>35</v>
      </c>
      <c r="C5" s="9" t="s">
        <v>731</v>
      </c>
      <c r="D5" s="159" t="s">
        <v>724</v>
      </c>
      <c r="E5" s="123">
        <v>16.0</v>
      </c>
      <c r="F5" s="124">
        <f>4+7+5</f>
        <v>16</v>
      </c>
      <c r="G5" s="123">
        <f t="shared" si="1"/>
        <v>0</v>
      </c>
      <c r="H5" s="126">
        <v>45684.0</v>
      </c>
      <c r="I5" s="127" t="s">
        <v>701</v>
      </c>
      <c r="J5" s="158" t="s">
        <v>732</v>
      </c>
      <c r="K5" s="38" t="s">
        <v>733</v>
      </c>
      <c r="L5" s="128" t="s">
        <v>727</v>
      </c>
    </row>
    <row r="6" ht="53.25" customHeight="1">
      <c r="A6" s="7">
        <v>4.0</v>
      </c>
      <c r="B6" s="8" t="s">
        <v>20</v>
      </c>
      <c r="C6" s="9" t="s">
        <v>734</v>
      </c>
      <c r="D6" s="159" t="s">
        <v>724</v>
      </c>
      <c r="E6" s="123">
        <v>16.0</v>
      </c>
      <c r="F6" s="124">
        <f>4+8+4</f>
        <v>16</v>
      </c>
      <c r="G6" s="123">
        <f t="shared" si="1"/>
        <v>0</v>
      </c>
      <c r="H6" s="126">
        <v>45684.0</v>
      </c>
      <c r="I6" s="127" t="s">
        <v>701</v>
      </c>
      <c r="J6" s="158" t="s">
        <v>732</v>
      </c>
      <c r="K6" s="38" t="s">
        <v>733</v>
      </c>
      <c r="L6" s="128" t="s">
        <v>727</v>
      </c>
    </row>
    <row r="7" ht="51.75" customHeight="1">
      <c r="A7" s="7">
        <v>5.0</v>
      </c>
      <c r="B7" s="8" t="s">
        <v>485</v>
      </c>
      <c r="C7" s="9" t="s">
        <v>735</v>
      </c>
      <c r="D7" s="159" t="s">
        <v>724</v>
      </c>
      <c r="E7" s="123">
        <v>20.0</v>
      </c>
      <c r="F7" s="124">
        <f>5+10+5</f>
        <v>20</v>
      </c>
      <c r="G7" s="123">
        <f t="shared" si="1"/>
        <v>0</v>
      </c>
      <c r="H7" s="126">
        <v>45684.0</v>
      </c>
      <c r="I7" s="127" t="s">
        <v>701</v>
      </c>
      <c r="J7" s="158" t="s">
        <v>732</v>
      </c>
      <c r="K7" s="38" t="s">
        <v>733</v>
      </c>
      <c r="L7" s="128" t="s">
        <v>727</v>
      </c>
    </row>
    <row r="8" ht="51.0" customHeight="1">
      <c r="A8" s="7">
        <v>6.0</v>
      </c>
      <c r="B8" s="8">
        <v>9.0812104E8</v>
      </c>
      <c r="C8" s="9" t="s">
        <v>618</v>
      </c>
      <c r="D8" s="159" t="s">
        <v>724</v>
      </c>
      <c r="E8" s="123">
        <f t="shared" ref="E8:F8" si="2">2+1</f>
        <v>3</v>
      </c>
      <c r="F8" s="124">
        <f t="shared" si="2"/>
        <v>3</v>
      </c>
      <c r="G8" s="125">
        <f t="shared" si="1"/>
        <v>0</v>
      </c>
      <c r="H8" s="158" t="s">
        <v>736</v>
      </c>
      <c r="I8" s="161" t="s">
        <v>737</v>
      </c>
      <c r="J8" s="158" t="s">
        <v>738</v>
      </c>
      <c r="K8" s="38" t="s">
        <v>37</v>
      </c>
      <c r="L8" s="17"/>
    </row>
    <row r="9" ht="58.5" customHeight="1">
      <c r="A9" s="7">
        <v>7.0</v>
      </c>
      <c r="B9" s="8">
        <v>9.08321124E8</v>
      </c>
      <c r="C9" s="9" t="s">
        <v>739</v>
      </c>
      <c r="D9" s="159" t="s">
        <v>724</v>
      </c>
      <c r="E9" s="123">
        <v>2.0</v>
      </c>
      <c r="F9" s="124">
        <f>1+1</f>
        <v>2</v>
      </c>
      <c r="G9" s="125">
        <f t="shared" si="1"/>
        <v>0</v>
      </c>
      <c r="H9" s="126">
        <v>45684.0</v>
      </c>
      <c r="I9" s="127" t="s">
        <v>701</v>
      </c>
      <c r="J9" s="158" t="s">
        <v>740</v>
      </c>
      <c r="K9" s="38" t="s">
        <v>726</v>
      </c>
      <c r="L9" s="128" t="s">
        <v>727</v>
      </c>
    </row>
    <row r="10" ht="39.0" customHeight="1">
      <c r="A10" s="7">
        <v>8.0</v>
      </c>
      <c r="B10" s="8">
        <v>9.08111011E8</v>
      </c>
      <c r="C10" s="9" t="s">
        <v>741</v>
      </c>
      <c r="D10" s="159" t="s">
        <v>724</v>
      </c>
      <c r="E10" s="123">
        <v>24.0</v>
      </c>
      <c r="F10" s="124">
        <v>6.0</v>
      </c>
      <c r="G10" s="125">
        <f t="shared" si="1"/>
        <v>18</v>
      </c>
      <c r="H10" s="126">
        <v>45685.0</v>
      </c>
      <c r="I10" s="127" t="s">
        <v>701</v>
      </c>
      <c r="J10" s="126">
        <v>45935.0</v>
      </c>
      <c r="K10" s="38" t="s">
        <v>37</v>
      </c>
      <c r="L10" s="17"/>
    </row>
    <row r="11">
      <c r="A11" s="7">
        <v>9.0</v>
      </c>
      <c r="B11" s="8" t="s">
        <v>742</v>
      </c>
      <c r="C11" s="9" t="s">
        <v>69</v>
      </c>
      <c r="D11" s="159" t="s">
        <v>724</v>
      </c>
      <c r="E11" s="123">
        <v>3200.0</v>
      </c>
      <c r="F11" s="124">
        <f>501+505+497+455+389+12+504</f>
        <v>2863</v>
      </c>
      <c r="G11" s="125">
        <f t="shared" si="1"/>
        <v>337</v>
      </c>
      <c r="H11" s="126">
        <v>45701.0</v>
      </c>
      <c r="I11" s="127" t="s">
        <v>701</v>
      </c>
      <c r="J11" s="158" t="s">
        <v>743</v>
      </c>
      <c r="K11" s="160" t="s">
        <v>744</v>
      </c>
      <c r="L11" s="162" t="s">
        <v>745</v>
      </c>
    </row>
    <row r="12" ht="55.5" customHeight="1">
      <c r="A12" s="7">
        <v>10.0</v>
      </c>
      <c r="B12" s="8" t="s">
        <v>622</v>
      </c>
      <c r="C12" s="9" t="s">
        <v>420</v>
      </c>
      <c r="D12" s="159" t="s">
        <v>724</v>
      </c>
      <c r="E12" s="123">
        <v>100.0</v>
      </c>
      <c r="F12" s="124">
        <f>15+30</f>
        <v>45</v>
      </c>
      <c r="G12" s="125">
        <f t="shared" si="1"/>
        <v>55</v>
      </c>
      <c r="H12" s="126">
        <v>45685.0</v>
      </c>
      <c r="I12" s="127" t="s">
        <v>701</v>
      </c>
      <c r="J12" s="158" t="s">
        <v>738</v>
      </c>
      <c r="K12" s="38" t="s">
        <v>37</v>
      </c>
      <c r="L12" s="17"/>
    </row>
    <row r="13" ht="47.25" customHeight="1">
      <c r="A13" s="7">
        <v>11.0</v>
      </c>
      <c r="B13" s="8">
        <v>9.08321101E8</v>
      </c>
      <c r="C13" s="9" t="s">
        <v>746</v>
      </c>
      <c r="D13" s="159">
        <v>2.6634018E7</v>
      </c>
      <c r="E13" s="123">
        <v>2.0</v>
      </c>
      <c r="F13" s="124">
        <f>1+1</f>
        <v>2</v>
      </c>
      <c r="G13" s="125">
        <f t="shared" si="1"/>
        <v>0</v>
      </c>
      <c r="H13" s="126">
        <v>45853.0</v>
      </c>
      <c r="I13" s="127" t="s">
        <v>14</v>
      </c>
      <c r="J13" s="158" t="s">
        <v>747</v>
      </c>
      <c r="K13" s="38" t="s">
        <v>37</v>
      </c>
      <c r="L13" s="17"/>
    </row>
    <row r="14">
      <c r="A14" s="7">
        <v>12.0</v>
      </c>
      <c r="B14" s="8">
        <v>9.08113004E8</v>
      </c>
      <c r="C14" s="9" t="s">
        <v>70</v>
      </c>
      <c r="D14" s="159"/>
      <c r="E14" s="123"/>
      <c r="F14" s="124">
        <v>8.0</v>
      </c>
      <c r="G14" s="125">
        <f t="shared" si="1"/>
        <v>-8</v>
      </c>
      <c r="H14" s="126"/>
      <c r="I14" s="127"/>
      <c r="J14" s="126">
        <v>45934.0</v>
      </c>
      <c r="K14" s="38" t="s">
        <v>37</v>
      </c>
      <c r="L14" s="163" t="s">
        <v>748</v>
      </c>
    </row>
    <row r="15">
      <c r="A15" s="7">
        <v>13.0</v>
      </c>
      <c r="B15" s="8">
        <v>9.08121158E8</v>
      </c>
      <c r="C15" s="9" t="s">
        <v>72</v>
      </c>
      <c r="D15" s="159">
        <v>2.6634018E7</v>
      </c>
      <c r="E15" s="123">
        <v>2.0</v>
      </c>
      <c r="F15" s="124">
        <v>2.0</v>
      </c>
      <c r="G15" s="125">
        <f t="shared" si="1"/>
        <v>0</v>
      </c>
      <c r="H15" s="126">
        <v>45965.0</v>
      </c>
      <c r="I15" s="127" t="s">
        <v>14</v>
      </c>
      <c r="J15" s="126">
        <v>45934.0</v>
      </c>
      <c r="K15" s="38" t="s">
        <v>37</v>
      </c>
      <c r="L15" s="163"/>
    </row>
    <row r="16">
      <c r="A16" s="7">
        <v>14.0</v>
      </c>
      <c r="B16" s="147">
        <v>9.08020201E8</v>
      </c>
      <c r="C16" s="7" t="s">
        <v>13</v>
      </c>
      <c r="D16" s="159"/>
      <c r="E16" s="123"/>
      <c r="F16" s="124">
        <v>3.0</v>
      </c>
      <c r="G16" s="125">
        <f t="shared" si="1"/>
        <v>-3</v>
      </c>
      <c r="H16" s="126"/>
      <c r="I16" s="127"/>
      <c r="J16" s="126">
        <v>45950.0</v>
      </c>
      <c r="K16" s="38" t="s">
        <v>37</v>
      </c>
      <c r="L16" s="163"/>
    </row>
    <row r="17">
      <c r="A17" s="164"/>
      <c r="B17" s="165"/>
      <c r="C17" s="86"/>
      <c r="D17" s="166"/>
      <c r="E17" s="167"/>
      <c r="F17" s="168"/>
      <c r="G17" s="169"/>
      <c r="H17" s="170"/>
      <c r="I17" s="171"/>
      <c r="J17" s="170"/>
      <c r="K17" s="172"/>
      <c r="L17" s="173"/>
    </row>
    <row r="19">
      <c r="A19" s="174" t="s">
        <v>749</v>
      </c>
      <c r="B19" s="133"/>
      <c r="C19" s="133"/>
      <c r="D19" s="133"/>
      <c r="E19" s="133"/>
      <c r="F19" s="133"/>
      <c r="G19" s="133"/>
      <c r="H19" s="133"/>
      <c r="I19" s="133"/>
      <c r="J19" s="27"/>
    </row>
    <row r="20" ht="49.5" customHeight="1">
      <c r="A20" s="4" t="s">
        <v>750</v>
      </c>
      <c r="B20" s="5" t="s">
        <v>2</v>
      </c>
      <c r="C20" s="4" t="s">
        <v>722</v>
      </c>
      <c r="D20" s="175" t="s">
        <v>751</v>
      </c>
      <c r="E20" s="4" t="s">
        <v>189</v>
      </c>
      <c r="F20" s="45" t="s">
        <v>752</v>
      </c>
      <c r="G20" s="27"/>
      <c r="H20" s="45" t="s">
        <v>12</v>
      </c>
      <c r="I20" s="133"/>
      <c r="J20" s="27"/>
    </row>
    <row r="21" ht="35.25" customHeight="1">
      <c r="A21" s="176">
        <v>1.0</v>
      </c>
      <c r="B21" s="38" t="s">
        <v>742</v>
      </c>
      <c r="C21" s="38" t="s">
        <v>69</v>
      </c>
      <c r="D21" s="177">
        <f>3.6+3.1+1.3+1.3</f>
        <v>9.3</v>
      </c>
      <c r="E21" s="178">
        <v>45756.0</v>
      </c>
      <c r="F21" s="28" t="s">
        <v>408</v>
      </c>
      <c r="G21" s="27"/>
      <c r="H21" s="179"/>
      <c r="I21" s="133"/>
      <c r="J21" s="27"/>
    </row>
    <row r="22" ht="15.75" customHeight="1">
      <c r="A22" s="177">
        <v>2.0</v>
      </c>
      <c r="B22" s="38" t="s">
        <v>742</v>
      </c>
      <c r="C22" s="38" t="s">
        <v>69</v>
      </c>
      <c r="D22" s="177">
        <f>24.8+2+2.7+5.2+5.2+1+1.5</f>
        <v>42.4</v>
      </c>
      <c r="E22" s="180">
        <v>45770.0</v>
      </c>
      <c r="F22" s="28" t="s">
        <v>408</v>
      </c>
      <c r="G22" s="27"/>
      <c r="H22" s="179"/>
      <c r="I22" s="133"/>
      <c r="J22" s="27"/>
    </row>
    <row r="23" ht="15.75" customHeight="1">
      <c r="A23" s="177">
        <v>3.0</v>
      </c>
      <c r="B23" s="38" t="s">
        <v>742</v>
      </c>
      <c r="C23" s="38" t="s">
        <v>69</v>
      </c>
      <c r="D23" s="177">
        <f>3+1.5+1.5</f>
        <v>6</v>
      </c>
      <c r="E23" s="180">
        <v>45775.0</v>
      </c>
      <c r="F23" s="28" t="s">
        <v>408</v>
      </c>
      <c r="G23" s="27"/>
      <c r="H23" s="179"/>
      <c r="I23" s="133"/>
      <c r="J23" s="27"/>
    </row>
    <row r="24" ht="15.75" customHeight="1">
      <c r="A24" s="177">
        <v>4.0</v>
      </c>
      <c r="B24" s="38" t="s">
        <v>742</v>
      </c>
      <c r="C24" s="38" t="s">
        <v>753</v>
      </c>
      <c r="D24" s="177">
        <f>4.4+2.4+3.35+2+2.45+2.45+2.45+2.15+2.15+2.15+3.54+3.54+3.54+1.7+1.7+1.7+0.5+0.5+0.5+0.58+0.58+0.58+0.55+0.55+0.55</f>
        <v>46.56</v>
      </c>
      <c r="E24" s="180">
        <v>45936.0</v>
      </c>
      <c r="F24" s="181" t="s">
        <v>37</v>
      </c>
      <c r="G24" s="27"/>
      <c r="H24" s="179"/>
      <c r="I24" s="133"/>
      <c r="J24" s="27"/>
    </row>
    <row r="25" ht="15.75" customHeight="1">
      <c r="A25" s="177">
        <v>5.0</v>
      </c>
      <c r="B25" s="38" t="s">
        <v>742</v>
      </c>
      <c r="C25" s="38" t="s">
        <v>753</v>
      </c>
      <c r="D25" s="177">
        <f>0.8+0.6+0.8+0.5+0.5+0.5+0.6+0.6+0.6+5.5</f>
        <v>11</v>
      </c>
      <c r="E25" s="180">
        <v>45948.0</v>
      </c>
      <c r="F25" s="181" t="s">
        <v>37</v>
      </c>
      <c r="G25" s="27"/>
      <c r="H25" s="182"/>
      <c r="I25" s="183"/>
      <c r="J25" s="184"/>
    </row>
    <row r="26" ht="55.5" customHeight="1">
      <c r="A26" s="177"/>
      <c r="B26" s="185" t="s">
        <v>754</v>
      </c>
      <c r="C26" s="27"/>
      <c r="D26" s="186">
        <f>SUM(D21:D25)</f>
        <v>115.26</v>
      </c>
      <c r="E26" s="177"/>
      <c r="F26" s="181"/>
      <c r="G26" s="27"/>
      <c r="H26" s="179"/>
      <c r="I26" s="133"/>
      <c r="J26" s="27"/>
    </row>
    <row r="27" ht="15.75" customHeight="1"/>
    <row r="28" ht="15.75" customHeight="1"/>
    <row r="29" ht="15.75" customHeight="1">
      <c r="A29" s="4" t="s">
        <v>750</v>
      </c>
      <c r="B29" s="5" t="s">
        <v>2</v>
      </c>
      <c r="C29" s="4" t="s">
        <v>722</v>
      </c>
      <c r="D29" s="4" t="s">
        <v>189</v>
      </c>
      <c r="E29" s="45" t="s">
        <v>752</v>
      </c>
      <c r="F29" s="27"/>
      <c r="G29" s="25" t="s">
        <v>10</v>
      </c>
      <c r="H29" s="3"/>
      <c r="I29" s="4" t="s">
        <v>11</v>
      </c>
    </row>
    <row r="30" ht="15.75" customHeight="1">
      <c r="A30" s="176">
        <v>1.0</v>
      </c>
      <c r="B30" s="38">
        <v>9.08321106E8</v>
      </c>
      <c r="C30" s="38" t="s">
        <v>755</v>
      </c>
      <c r="D30" s="187">
        <v>45946.0</v>
      </c>
      <c r="E30" s="188" t="s">
        <v>37</v>
      </c>
      <c r="F30" s="27"/>
      <c r="G30" s="189">
        <v>45980.0</v>
      </c>
      <c r="H30" s="27"/>
      <c r="I30" s="188" t="s">
        <v>14</v>
      </c>
      <c r="J30" s="190" t="s">
        <v>756</v>
      </c>
    </row>
    <row r="31" ht="15.75" customHeight="1">
      <c r="A31" s="17"/>
      <c r="B31" s="17"/>
      <c r="C31" s="17"/>
      <c r="D31" s="17"/>
      <c r="E31" s="17"/>
      <c r="F31" s="17"/>
    </row>
    <row r="32" ht="15.75" customHeight="1">
      <c r="A32" s="17"/>
      <c r="B32" s="17"/>
      <c r="C32" s="17"/>
      <c r="D32" s="17"/>
      <c r="E32" s="17"/>
      <c r="F32" s="1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L1"/>
    <mergeCell ref="A19:J19"/>
    <mergeCell ref="F20:G20"/>
    <mergeCell ref="H20:J20"/>
    <mergeCell ref="F21:G21"/>
    <mergeCell ref="H21:J21"/>
    <mergeCell ref="H22:J22"/>
    <mergeCell ref="F26:G26"/>
    <mergeCell ref="H26:J26"/>
    <mergeCell ref="E29:F29"/>
    <mergeCell ref="G29:H29"/>
    <mergeCell ref="E30:F30"/>
    <mergeCell ref="G30:H30"/>
    <mergeCell ref="F22:G22"/>
    <mergeCell ref="F23:G23"/>
    <mergeCell ref="H23:J23"/>
    <mergeCell ref="F24:G24"/>
    <mergeCell ref="H24:J24"/>
    <mergeCell ref="F25:G25"/>
    <mergeCell ref="B26:C26"/>
  </mergeCells>
  <printOptions/>
  <pageMargins bottom="0.75" footer="0.0" header="0.0" left="0.7" right="0.7" top="0.75"/>
  <pageSetup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757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2.6638008E7</v>
      </c>
      <c r="E3" s="7">
        <v>1.0</v>
      </c>
      <c r="F3" s="11"/>
      <c r="G3" s="12">
        <f t="shared" ref="G3:G23" si="1">E3-F3</f>
        <v>1</v>
      </c>
      <c r="H3" s="13">
        <v>45684.0</v>
      </c>
      <c r="I3" s="14" t="s">
        <v>14</v>
      </c>
      <c r="J3" s="15">
        <v>45689.0</v>
      </c>
      <c r="K3" s="7" t="s">
        <v>294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2.6638008E7</v>
      </c>
      <c r="E4" s="123">
        <v>2.0</v>
      </c>
      <c r="F4" s="124">
        <v>2.0</v>
      </c>
      <c r="G4" s="12">
        <f t="shared" si="1"/>
        <v>0</v>
      </c>
      <c r="H4" s="13">
        <v>45684.0</v>
      </c>
      <c r="I4" s="14" t="s">
        <v>14</v>
      </c>
      <c r="J4" s="15">
        <v>45689.0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2.6638008E7</v>
      </c>
      <c r="E5" s="123">
        <v>2.0</v>
      </c>
      <c r="F5" s="124">
        <f>1+1</f>
        <v>2</v>
      </c>
      <c r="G5" s="12">
        <f t="shared" si="1"/>
        <v>0</v>
      </c>
      <c r="H5" s="13">
        <v>45684.0</v>
      </c>
      <c r="I5" s="14" t="s">
        <v>14</v>
      </c>
      <c r="J5" s="30" t="s">
        <v>758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2.6638008E7</v>
      </c>
      <c r="E6" s="123">
        <v>2.0</v>
      </c>
      <c r="F6" s="124">
        <v>2.0</v>
      </c>
      <c r="G6" s="12">
        <f t="shared" si="1"/>
        <v>0</v>
      </c>
      <c r="H6" s="13">
        <v>45684.0</v>
      </c>
      <c r="I6" s="14" t="s">
        <v>14</v>
      </c>
      <c r="J6" s="15">
        <v>45689.0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0">
        <v>2.6638008E7</v>
      </c>
      <c r="E7" s="123">
        <v>2.0</v>
      </c>
      <c r="F7" s="124">
        <v>2.0</v>
      </c>
      <c r="G7" s="12">
        <f t="shared" si="1"/>
        <v>0</v>
      </c>
      <c r="H7" s="13">
        <v>45684.0</v>
      </c>
      <c r="I7" s="14" t="s">
        <v>14</v>
      </c>
      <c r="J7" s="15">
        <v>45689.0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2.6638008E7</v>
      </c>
      <c r="E8" s="123">
        <v>2.0</v>
      </c>
      <c r="F8" s="124">
        <v>2.0</v>
      </c>
      <c r="G8" s="12">
        <f t="shared" si="1"/>
        <v>0</v>
      </c>
      <c r="H8" s="13">
        <v>45684.0</v>
      </c>
      <c r="I8" s="14" t="s">
        <v>14</v>
      </c>
      <c r="J8" s="15">
        <v>45689.0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2.6638008E7</v>
      </c>
      <c r="E9" s="123">
        <v>1.0</v>
      </c>
      <c r="F9" s="124">
        <v>1.0</v>
      </c>
      <c r="G9" s="12">
        <f t="shared" si="1"/>
        <v>0</v>
      </c>
      <c r="H9" s="13">
        <v>45684.0</v>
      </c>
      <c r="I9" s="14" t="s">
        <v>14</v>
      </c>
      <c r="J9" s="15">
        <v>45689.0</v>
      </c>
      <c r="K9" s="7" t="s">
        <v>294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2.6638008E7</v>
      </c>
      <c r="E10" s="123">
        <v>3.0</v>
      </c>
      <c r="F10" s="191">
        <v>6.0</v>
      </c>
      <c r="G10" s="12">
        <f t="shared" si="1"/>
        <v>-3</v>
      </c>
      <c r="H10" s="13">
        <v>45684.0</v>
      </c>
      <c r="I10" s="14" t="s">
        <v>14</v>
      </c>
      <c r="J10" s="15">
        <v>45692.0</v>
      </c>
      <c r="K10" s="7" t="s">
        <v>294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2.6638008E7</v>
      </c>
      <c r="E11" s="123">
        <v>60.0</v>
      </c>
      <c r="F11" s="124">
        <v>58.0</v>
      </c>
      <c r="G11" s="12">
        <f t="shared" si="1"/>
        <v>2</v>
      </c>
      <c r="H11" s="13">
        <v>45684.0</v>
      </c>
      <c r="I11" s="14" t="s">
        <v>14</v>
      </c>
      <c r="J11" s="15">
        <v>45689.0</v>
      </c>
      <c r="K11" s="7" t="s">
        <v>294</v>
      </c>
      <c r="L11" s="9"/>
    </row>
    <row r="12">
      <c r="A12" s="7">
        <v>10.0</v>
      </c>
      <c r="B12" s="8">
        <v>9.08111005E8</v>
      </c>
      <c r="C12" s="9" t="s">
        <v>608</v>
      </c>
      <c r="D12" s="10">
        <v>2.6638008E7</v>
      </c>
      <c r="E12" s="123">
        <v>18.0</v>
      </c>
      <c r="F12" s="124">
        <v>18.0</v>
      </c>
      <c r="G12" s="12">
        <f t="shared" si="1"/>
        <v>0</v>
      </c>
      <c r="H12" s="13">
        <v>45684.0</v>
      </c>
      <c r="I12" s="14" t="s">
        <v>14</v>
      </c>
      <c r="J12" s="15">
        <v>45689.0</v>
      </c>
      <c r="K12" s="7" t="s">
        <v>294</v>
      </c>
      <c r="L12" s="9"/>
    </row>
    <row r="13">
      <c r="A13" s="7">
        <v>11.0</v>
      </c>
      <c r="B13" s="8">
        <v>9.08111101E8</v>
      </c>
      <c r="C13" s="9" t="s">
        <v>452</v>
      </c>
      <c r="D13" s="10">
        <v>2.6638008E7</v>
      </c>
      <c r="E13" s="123">
        <v>6.0</v>
      </c>
      <c r="F13" s="124">
        <v>6.0</v>
      </c>
      <c r="G13" s="12">
        <f t="shared" si="1"/>
        <v>0</v>
      </c>
      <c r="H13" s="13">
        <v>45684.0</v>
      </c>
      <c r="I13" s="14" t="s">
        <v>14</v>
      </c>
      <c r="J13" s="15">
        <v>45689.0</v>
      </c>
      <c r="K13" s="7" t="s">
        <v>294</v>
      </c>
      <c r="L13" s="9"/>
    </row>
    <row r="14">
      <c r="A14" s="7">
        <v>12.0</v>
      </c>
      <c r="B14" s="8">
        <v>9.0812201E8</v>
      </c>
      <c r="C14" s="9" t="s">
        <v>80</v>
      </c>
      <c r="D14" s="10">
        <v>2.6638008E7</v>
      </c>
      <c r="E14" s="123">
        <v>16.0</v>
      </c>
      <c r="F14" s="124">
        <v>16.0</v>
      </c>
      <c r="G14" s="12">
        <f t="shared" si="1"/>
        <v>0</v>
      </c>
      <c r="H14" s="13">
        <v>45684.0</v>
      </c>
      <c r="I14" s="14" t="s">
        <v>14</v>
      </c>
      <c r="J14" s="15">
        <v>45689.0</v>
      </c>
      <c r="K14" s="7" t="s">
        <v>294</v>
      </c>
      <c r="L14" s="9"/>
    </row>
    <row r="15">
      <c r="A15" s="7">
        <v>13.0</v>
      </c>
      <c r="B15" s="8">
        <v>9.08421003E8</v>
      </c>
      <c r="C15" s="9" t="s">
        <v>601</v>
      </c>
      <c r="D15" s="10">
        <v>2.6888447E7</v>
      </c>
      <c r="E15" s="123">
        <v>1.0</v>
      </c>
      <c r="F15" s="124">
        <v>1.0</v>
      </c>
      <c r="G15" s="12">
        <f t="shared" si="1"/>
        <v>0</v>
      </c>
      <c r="H15" s="13">
        <v>45768.0</v>
      </c>
      <c r="I15" s="14" t="s">
        <v>14</v>
      </c>
      <c r="J15" s="15">
        <v>45740.0</v>
      </c>
      <c r="K15" s="7" t="s">
        <v>294</v>
      </c>
      <c r="L15" s="9"/>
    </row>
    <row r="16">
      <c r="A16" s="7">
        <v>14.0</v>
      </c>
      <c r="B16" s="8">
        <v>9.08421001E8</v>
      </c>
      <c r="C16" s="9" t="s">
        <v>532</v>
      </c>
      <c r="D16" s="10">
        <v>2.6888447E7</v>
      </c>
      <c r="E16" s="123">
        <v>1.0</v>
      </c>
      <c r="F16" s="124">
        <v>1.0</v>
      </c>
      <c r="G16" s="12">
        <f t="shared" si="1"/>
        <v>0</v>
      </c>
      <c r="H16" s="13">
        <v>45736.0</v>
      </c>
      <c r="I16" s="14" t="s">
        <v>14</v>
      </c>
      <c r="J16" s="15">
        <v>45740.0</v>
      </c>
      <c r="K16" s="7" t="s">
        <v>294</v>
      </c>
      <c r="L16" s="9"/>
    </row>
    <row r="17">
      <c r="A17" s="7">
        <v>15.0</v>
      </c>
      <c r="B17" s="8">
        <v>9.08402208E8</v>
      </c>
      <c r="C17" s="9" t="s">
        <v>531</v>
      </c>
      <c r="D17" s="10">
        <v>2.6888447E7</v>
      </c>
      <c r="E17" s="123">
        <v>5.0</v>
      </c>
      <c r="F17" s="124">
        <v>5.0</v>
      </c>
      <c r="G17" s="12">
        <f t="shared" si="1"/>
        <v>0</v>
      </c>
      <c r="H17" s="13">
        <v>45736.0</v>
      </c>
      <c r="I17" s="14" t="s">
        <v>14</v>
      </c>
      <c r="J17" s="15">
        <v>45740.0</v>
      </c>
      <c r="K17" s="7" t="s">
        <v>294</v>
      </c>
      <c r="L17" s="9"/>
    </row>
    <row r="18">
      <c r="A18" s="7">
        <v>16.0</v>
      </c>
      <c r="B18" s="8">
        <v>9.08371013E8</v>
      </c>
      <c r="C18" s="9" t="s">
        <v>759</v>
      </c>
      <c r="D18" s="10">
        <v>2.6888447E7</v>
      </c>
      <c r="E18" s="123">
        <v>5.0</v>
      </c>
      <c r="F18" s="124">
        <v>5.0</v>
      </c>
      <c r="G18" s="12">
        <f t="shared" si="1"/>
        <v>0</v>
      </c>
      <c r="H18" s="13">
        <v>45736.0</v>
      </c>
      <c r="I18" s="14" t="s">
        <v>14</v>
      </c>
      <c r="J18" s="15">
        <v>45740.0</v>
      </c>
      <c r="K18" s="7" t="s">
        <v>294</v>
      </c>
      <c r="L18" s="9"/>
    </row>
    <row r="19">
      <c r="A19" s="7">
        <v>17.0</v>
      </c>
      <c r="B19" s="8">
        <v>9.08202189E8</v>
      </c>
      <c r="C19" s="9" t="s">
        <v>55</v>
      </c>
      <c r="D19" s="10">
        <v>2.6888447E7</v>
      </c>
      <c r="E19" s="123">
        <v>2.0</v>
      </c>
      <c r="F19" s="124">
        <v>2.0</v>
      </c>
      <c r="G19" s="12">
        <f t="shared" si="1"/>
        <v>0</v>
      </c>
      <c r="H19" s="13">
        <v>45736.0</v>
      </c>
      <c r="I19" s="14" t="s">
        <v>14</v>
      </c>
      <c r="J19" s="15">
        <v>45740.0</v>
      </c>
      <c r="K19" s="7" t="s">
        <v>294</v>
      </c>
      <c r="L19" s="9"/>
    </row>
    <row r="20">
      <c r="A20" s="7">
        <v>18.0</v>
      </c>
      <c r="B20" s="8">
        <v>9.0820203E8</v>
      </c>
      <c r="C20" s="9" t="s">
        <v>454</v>
      </c>
      <c r="D20" s="10">
        <v>2.6888447E7</v>
      </c>
      <c r="E20" s="123">
        <v>6.0</v>
      </c>
      <c r="F20" s="124">
        <v>6.0</v>
      </c>
      <c r="G20" s="12">
        <f t="shared" si="1"/>
        <v>0</v>
      </c>
      <c r="H20" s="13">
        <v>45736.0</v>
      </c>
      <c r="I20" s="14" t="s">
        <v>14</v>
      </c>
      <c r="J20" s="15">
        <v>45740.0</v>
      </c>
      <c r="K20" s="7" t="s">
        <v>294</v>
      </c>
      <c r="L20" s="9"/>
    </row>
    <row r="21" ht="15.75" customHeight="1">
      <c r="A21" s="7">
        <v>19.0</v>
      </c>
      <c r="B21" s="8">
        <v>9.08122003E8</v>
      </c>
      <c r="C21" s="9" t="s">
        <v>574</v>
      </c>
      <c r="D21" s="10">
        <v>2.6888447E7</v>
      </c>
      <c r="E21" s="123">
        <v>16.0</v>
      </c>
      <c r="F21" s="124">
        <v>16.0</v>
      </c>
      <c r="G21" s="12">
        <f t="shared" si="1"/>
        <v>0</v>
      </c>
      <c r="H21" s="13">
        <v>45736.0</v>
      </c>
      <c r="I21" s="14" t="s">
        <v>14</v>
      </c>
      <c r="J21" s="15">
        <v>45740.0</v>
      </c>
      <c r="K21" s="7" t="s">
        <v>294</v>
      </c>
      <c r="L21" s="9"/>
    </row>
    <row r="22" ht="15.75" customHeight="1">
      <c r="A22" s="7">
        <v>20.0</v>
      </c>
      <c r="B22" s="8">
        <v>9.08202054E8</v>
      </c>
      <c r="C22" s="9" t="s">
        <v>455</v>
      </c>
      <c r="D22" s="10">
        <v>2.6888447E7</v>
      </c>
      <c r="E22" s="123">
        <v>2.0</v>
      </c>
      <c r="F22" s="124">
        <v>2.0</v>
      </c>
      <c r="G22" s="12">
        <f t="shared" si="1"/>
        <v>0</v>
      </c>
      <c r="H22" s="13">
        <v>45736.0</v>
      </c>
      <c r="I22" s="14" t="s">
        <v>14</v>
      </c>
      <c r="J22" s="15">
        <v>45740.0</v>
      </c>
      <c r="K22" s="7" t="s">
        <v>294</v>
      </c>
      <c r="L22" s="9"/>
    </row>
    <row r="23" ht="15.75" customHeight="1">
      <c r="A23" s="7">
        <v>21.0</v>
      </c>
      <c r="B23" s="8">
        <v>9.08111101E8</v>
      </c>
      <c r="C23" s="9" t="s">
        <v>452</v>
      </c>
      <c r="D23" s="10">
        <v>2.6888447E7</v>
      </c>
      <c r="E23" s="123">
        <v>4.0</v>
      </c>
      <c r="F23" s="124">
        <v>4.0</v>
      </c>
      <c r="G23" s="12">
        <f t="shared" si="1"/>
        <v>0</v>
      </c>
      <c r="H23" s="13">
        <v>45736.0</v>
      </c>
      <c r="I23" s="14" t="s">
        <v>14</v>
      </c>
      <c r="J23" s="15">
        <v>45740.0</v>
      </c>
      <c r="K23" s="7" t="s">
        <v>294</v>
      </c>
      <c r="L23" s="9"/>
    </row>
    <row r="24" ht="15.75" customHeight="1"/>
    <row r="25" ht="15.75" customHeight="1"/>
    <row r="26" ht="15.75" customHeight="1"/>
    <row r="27" ht="15.75" customHeight="1">
      <c r="H27" s="18" t="s">
        <v>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20.14"/>
    <col customWidth="1" min="4" max="4" width="67.29"/>
    <col customWidth="1" min="5" max="5" width="24.43"/>
    <col customWidth="1" min="6" max="6" width="22.43"/>
    <col customWidth="1" min="7" max="7" width="23.71"/>
    <col customWidth="1" min="8" max="8" width="16.86"/>
    <col customWidth="1" min="9" max="9" width="26.86"/>
    <col customWidth="1" min="10" max="10" width="27.71"/>
    <col customWidth="1" min="11" max="11" width="44.0"/>
    <col customWidth="1" min="12" max="12" width="30.57"/>
    <col customWidth="1" min="13" max="13" width="33.29"/>
    <col customWidth="1" min="14" max="26" width="8.71"/>
  </cols>
  <sheetData>
    <row r="1">
      <c r="A1" s="1" t="s">
        <v>760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6" t="s">
        <v>7</v>
      </c>
      <c r="I2" s="6" t="s">
        <v>8</v>
      </c>
      <c r="J2" s="6" t="s">
        <v>9</v>
      </c>
      <c r="K2" s="4" t="s">
        <v>10</v>
      </c>
      <c r="L2" s="4" t="s">
        <v>11</v>
      </c>
      <c r="M2" s="4" t="s">
        <v>12</v>
      </c>
    </row>
    <row r="3">
      <c r="A3" s="7">
        <v>1.0</v>
      </c>
      <c r="B3" s="48"/>
      <c r="C3" s="147">
        <v>9.0820203E8</v>
      </c>
      <c r="D3" s="7" t="s">
        <v>19</v>
      </c>
      <c r="E3" s="10">
        <v>2.6547435E7</v>
      </c>
      <c r="F3" s="7">
        <v>5.0</v>
      </c>
      <c r="G3" s="192">
        <v>5.0</v>
      </c>
      <c r="H3" s="12">
        <f t="shared" ref="H3:H35" si="1">F3-G3</f>
        <v>0</v>
      </c>
      <c r="I3" s="13">
        <v>45665.0</v>
      </c>
      <c r="J3" s="14" t="s">
        <v>14</v>
      </c>
      <c r="K3" s="15">
        <v>45694.0</v>
      </c>
      <c r="L3" s="7" t="s">
        <v>435</v>
      </c>
      <c r="M3" s="7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93">
        <v>2.0</v>
      </c>
      <c r="B4" s="93"/>
      <c r="C4" s="78">
        <v>9.08122034E8</v>
      </c>
      <c r="D4" s="79" t="s">
        <v>761</v>
      </c>
      <c r="E4" s="193">
        <v>2.6547435E7</v>
      </c>
      <c r="F4" s="192">
        <v>10.0</v>
      </c>
      <c r="G4" s="192">
        <v>10.0</v>
      </c>
      <c r="H4" s="194">
        <f t="shared" si="1"/>
        <v>0</v>
      </c>
      <c r="I4" s="195">
        <v>45665.0</v>
      </c>
      <c r="J4" s="196" t="s">
        <v>14</v>
      </c>
      <c r="K4" s="197">
        <v>45694.0</v>
      </c>
      <c r="L4" s="93" t="s">
        <v>435</v>
      </c>
      <c r="M4" s="79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30.75" customHeight="1">
      <c r="A5" s="7">
        <v>3.0</v>
      </c>
      <c r="B5" s="7"/>
      <c r="C5" s="8">
        <v>9.08202054E8</v>
      </c>
      <c r="D5" s="9" t="s">
        <v>455</v>
      </c>
      <c r="E5" s="10">
        <v>2.6547435E7</v>
      </c>
      <c r="F5" s="123">
        <v>6.0</v>
      </c>
      <c r="G5" s="192">
        <v>6.0</v>
      </c>
      <c r="H5" s="12">
        <f t="shared" si="1"/>
        <v>0</v>
      </c>
      <c r="I5" s="13">
        <v>45665.0</v>
      </c>
      <c r="J5" s="19" t="s">
        <v>14</v>
      </c>
      <c r="K5" s="15">
        <v>45693.0</v>
      </c>
      <c r="L5" s="7" t="s">
        <v>435</v>
      </c>
      <c r="M5" s="20"/>
    </row>
    <row r="6" ht="30.75" customHeight="1">
      <c r="A6" s="7">
        <v>4.0</v>
      </c>
      <c r="B6" s="7"/>
      <c r="C6" s="8">
        <v>9.08202189E8</v>
      </c>
      <c r="D6" s="9" t="s">
        <v>762</v>
      </c>
      <c r="E6" s="10">
        <v>2.6547435E7</v>
      </c>
      <c r="F6" s="123">
        <v>13.0</v>
      </c>
      <c r="G6" s="192">
        <v>13.0</v>
      </c>
      <c r="H6" s="12">
        <f t="shared" si="1"/>
        <v>0</v>
      </c>
      <c r="I6" s="13">
        <v>45665.0</v>
      </c>
      <c r="J6" s="19" t="s">
        <v>14</v>
      </c>
      <c r="K6" s="15">
        <v>45694.0</v>
      </c>
      <c r="L6" s="7" t="s">
        <v>435</v>
      </c>
      <c r="M6" s="20"/>
    </row>
    <row r="7" ht="30.75" customHeight="1">
      <c r="A7" s="7">
        <v>5.0</v>
      </c>
      <c r="B7" s="7"/>
      <c r="C7" s="8">
        <v>9.0811101E8</v>
      </c>
      <c r="D7" s="9" t="s">
        <v>680</v>
      </c>
      <c r="E7" s="10">
        <v>2.6547435E7</v>
      </c>
      <c r="F7" s="123">
        <v>20.0</v>
      </c>
      <c r="G7" s="192">
        <v>20.0</v>
      </c>
      <c r="H7" s="12">
        <f t="shared" si="1"/>
        <v>0</v>
      </c>
      <c r="I7" s="13">
        <v>45665.0</v>
      </c>
      <c r="J7" s="19" t="s">
        <v>14</v>
      </c>
      <c r="K7" s="15">
        <v>45693.0</v>
      </c>
      <c r="L7" s="7" t="s">
        <v>435</v>
      </c>
      <c r="M7" s="20"/>
    </row>
    <row r="8" ht="30.75" customHeight="1">
      <c r="A8" s="7">
        <v>6.0</v>
      </c>
      <c r="B8" s="7"/>
      <c r="C8" s="8">
        <v>9.08402206E8</v>
      </c>
      <c r="D8" s="9" t="s">
        <v>763</v>
      </c>
      <c r="E8" s="10">
        <v>2.6547435E7</v>
      </c>
      <c r="F8" s="123">
        <v>1.0</v>
      </c>
      <c r="G8" s="192">
        <v>1.0</v>
      </c>
      <c r="H8" s="12">
        <f t="shared" si="1"/>
        <v>0</v>
      </c>
      <c r="I8" s="13">
        <v>45665.0</v>
      </c>
      <c r="J8" s="19" t="s">
        <v>14</v>
      </c>
      <c r="K8" s="15">
        <v>45693.0</v>
      </c>
      <c r="L8" s="7" t="s">
        <v>435</v>
      </c>
      <c r="M8" s="20"/>
    </row>
    <row r="9" ht="30.75" customHeight="1">
      <c r="A9" s="7">
        <v>7.0</v>
      </c>
      <c r="B9" s="7"/>
      <c r="C9" s="8">
        <v>9.08421004E8</v>
      </c>
      <c r="D9" s="9" t="s">
        <v>85</v>
      </c>
      <c r="E9" s="10">
        <v>2.6547435E7</v>
      </c>
      <c r="F9" s="123">
        <v>1.0</v>
      </c>
      <c r="G9" s="192">
        <v>1.0</v>
      </c>
      <c r="H9" s="12">
        <f t="shared" si="1"/>
        <v>0</v>
      </c>
      <c r="I9" s="13">
        <v>45665.0</v>
      </c>
      <c r="J9" s="19" t="s">
        <v>14</v>
      </c>
      <c r="K9" s="15">
        <v>45693.0</v>
      </c>
      <c r="L9" s="7" t="s">
        <v>435</v>
      </c>
      <c r="M9" s="20"/>
    </row>
    <row r="10" ht="30.75" customHeight="1">
      <c r="A10" s="7">
        <v>8.0</v>
      </c>
      <c r="B10" s="7"/>
      <c r="C10" s="8">
        <v>9.08501008E8</v>
      </c>
      <c r="D10" s="9" t="s">
        <v>764</v>
      </c>
      <c r="E10" s="10">
        <v>2.6547435E7</v>
      </c>
      <c r="F10" s="123">
        <v>6.0</v>
      </c>
      <c r="G10" s="192">
        <v>3.0</v>
      </c>
      <c r="H10" s="12">
        <f t="shared" si="1"/>
        <v>3</v>
      </c>
      <c r="I10" s="13">
        <v>45665.0</v>
      </c>
      <c r="J10" s="19" t="s">
        <v>14</v>
      </c>
      <c r="K10" s="15">
        <v>45694.0</v>
      </c>
      <c r="L10" s="7" t="s">
        <v>435</v>
      </c>
      <c r="M10" s="20"/>
    </row>
    <row r="11" ht="30.75" customHeight="1">
      <c r="A11" s="7">
        <v>9.0</v>
      </c>
      <c r="B11" s="7"/>
      <c r="C11" s="78">
        <v>9.05835838E8</v>
      </c>
      <c r="D11" s="79" t="s">
        <v>499</v>
      </c>
      <c r="E11" s="10">
        <v>2.6547435E7</v>
      </c>
      <c r="F11" s="123">
        <v>3.0</v>
      </c>
      <c r="G11" s="192">
        <v>3.0</v>
      </c>
      <c r="H11" s="12">
        <f t="shared" si="1"/>
        <v>0</v>
      </c>
      <c r="I11" s="13">
        <v>45665.0</v>
      </c>
      <c r="J11" s="19" t="s">
        <v>14</v>
      </c>
      <c r="K11" s="15">
        <v>45696.0</v>
      </c>
      <c r="L11" s="7" t="s">
        <v>435</v>
      </c>
      <c r="M11" s="20"/>
    </row>
    <row r="12" ht="30.75" customHeight="1">
      <c r="A12" s="7">
        <v>10.0</v>
      </c>
      <c r="B12" s="7"/>
      <c r="C12" s="8">
        <v>9.08121074E8</v>
      </c>
      <c r="D12" s="9" t="s">
        <v>765</v>
      </c>
      <c r="E12" s="10">
        <v>2.6547435E7</v>
      </c>
      <c r="F12" s="123">
        <v>1.0</v>
      </c>
      <c r="G12" s="199"/>
      <c r="H12" s="12">
        <f t="shared" si="1"/>
        <v>1</v>
      </c>
      <c r="I12" s="13">
        <v>45665.0</v>
      </c>
      <c r="J12" s="19" t="s">
        <v>14</v>
      </c>
      <c r="K12" s="15"/>
      <c r="L12" s="7"/>
      <c r="M12" s="20"/>
    </row>
    <row r="13" ht="30.75" customHeight="1">
      <c r="A13" s="7">
        <v>11.0</v>
      </c>
      <c r="B13" s="7"/>
      <c r="C13" s="8">
        <v>9.05727936E8</v>
      </c>
      <c r="D13" s="9" t="s">
        <v>766</v>
      </c>
      <c r="E13" s="10">
        <v>2.6547435E7</v>
      </c>
      <c r="F13" s="123">
        <v>3.0</v>
      </c>
      <c r="G13" s="192">
        <v>3.0</v>
      </c>
      <c r="H13" s="12">
        <f t="shared" si="1"/>
        <v>0</v>
      </c>
      <c r="I13" s="13">
        <v>45665.0</v>
      </c>
      <c r="J13" s="19" t="s">
        <v>14</v>
      </c>
      <c r="K13" s="15">
        <v>45696.0</v>
      </c>
      <c r="L13" s="7" t="s">
        <v>435</v>
      </c>
      <c r="M13" s="20"/>
    </row>
    <row r="14" ht="30.75" customHeight="1">
      <c r="A14" s="7">
        <v>12.0</v>
      </c>
      <c r="B14" s="7"/>
      <c r="C14" s="200">
        <v>9.05728003E8</v>
      </c>
      <c r="D14" s="9" t="s">
        <v>767</v>
      </c>
      <c r="E14" s="10">
        <v>2.6547435E7</v>
      </c>
      <c r="F14" s="123">
        <v>3.0</v>
      </c>
      <c r="G14" s="199"/>
      <c r="H14" s="12">
        <f t="shared" si="1"/>
        <v>3</v>
      </c>
      <c r="I14" s="13">
        <v>45665.0</v>
      </c>
      <c r="J14" s="19" t="s">
        <v>14</v>
      </c>
      <c r="K14" s="15"/>
      <c r="L14" s="7"/>
      <c r="M14" s="20"/>
    </row>
    <row r="15" ht="30.75" customHeight="1">
      <c r="A15" s="7">
        <v>13.0</v>
      </c>
      <c r="B15" s="7"/>
      <c r="C15" s="8">
        <v>9.05727976E8</v>
      </c>
      <c r="D15" s="9" t="s">
        <v>768</v>
      </c>
      <c r="E15" s="10">
        <v>2.6547435E7</v>
      </c>
      <c r="F15" s="123">
        <v>3.0</v>
      </c>
      <c r="G15" s="192">
        <v>3.0</v>
      </c>
      <c r="H15" s="12">
        <f t="shared" si="1"/>
        <v>0</v>
      </c>
      <c r="I15" s="13">
        <v>45665.0</v>
      </c>
      <c r="J15" s="19" t="s">
        <v>14</v>
      </c>
      <c r="K15" s="15">
        <v>45696.0</v>
      </c>
      <c r="L15" s="7" t="s">
        <v>435</v>
      </c>
      <c r="M15" s="20"/>
    </row>
    <row r="16" ht="62.25" customHeight="1">
      <c r="A16" s="7">
        <v>14.0</v>
      </c>
      <c r="B16" s="19">
        <v>3.01271997E8</v>
      </c>
      <c r="C16" s="8">
        <v>9.05728005E8</v>
      </c>
      <c r="D16" s="9" t="s">
        <v>769</v>
      </c>
      <c r="E16" s="10">
        <v>2.6547435E7</v>
      </c>
      <c r="F16" s="123">
        <f>9+3</f>
        <v>12</v>
      </c>
      <c r="G16" s="192">
        <f t="shared" ref="G16:G19" si="2">6+3+3</f>
        <v>12</v>
      </c>
      <c r="H16" s="12">
        <f t="shared" si="1"/>
        <v>0</v>
      </c>
      <c r="I16" s="13" t="s">
        <v>770</v>
      </c>
      <c r="J16" s="19" t="s">
        <v>14</v>
      </c>
      <c r="K16" s="30" t="s">
        <v>771</v>
      </c>
      <c r="L16" s="7" t="s">
        <v>435</v>
      </c>
      <c r="M16" s="20"/>
    </row>
    <row r="17" ht="62.25" customHeight="1">
      <c r="A17" s="7">
        <v>15.0</v>
      </c>
      <c r="B17" s="19">
        <v>3.01271326E8</v>
      </c>
      <c r="C17" s="8">
        <v>9.05727977E8</v>
      </c>
      <c r="D17" s="9" t="s">
        <v>772</v>
      </c>
      <c r="E17" s="10">
        <v>2.6547435E7</v>
      </c>
      <c r="F17" s="123">
        <v>9.0</v>
      </c>
      <c r="G17" s="192">
        <f t="shared" si="2"/>
        <v>12</v>
      </c>
      <c r="H17" s="12">
        <f t="shared" si="1"/>
        <v>-3</v>
      </c>
      <c r="I17" s="13">
        <v>45665.0</v>
      </c>
      <c r="J17" s="19" t="s">
        <v>14</v>
      </c>
      <c r="K17" s="30" t="s">
        <v>771</v>
      </c>
      <c r="L17" s="7" t="s">
        <v>435</v>
      </c>
      <c r="M17" s="20"/>
    </row>
    <row r="18" ht="62.25" customHeight="1">
      <c r="A18" s="7">
        <v>16.0</v>
      </c>
      <c r="B18" s="19">
        <v>3.00103969E8</v>
      </c>
      <c r="C18" s="8">
        <v>9.05702039E8</v>
      </c>
      <c r="D18" s="9" t="s">
        <v>773</v>
      </c>
      <c r="E18" s="10">
        <v>2.6547435E7</v>
      </c>
      <c r="F18" s="123">
        <v>12.0</v>
      </c>
      <c r="G18" s="192">
        <f t="shared" si="2"/>
        <v>12</v>
      </c>
      <c r="H18" s="12">
        <f t="shared" si="1"/>
        <v>0</v>
      </c>
      <c r="I18" s="13">
        <v>45665.0</v>
      </c>
      <c r="J18" s="19" t="s">
        <v>14</v>
      </c>
      <c r="K18" s="30" t="s">
        <v>771</v>
      </c>
      <c r="L18" s="7" t="s">
        <v>435</v>
      </c>
      <c r="M18" s="20"/>
    </row>
    <row r="19" ht="62.25" customHeight="1">
      <c r="A19" s="7">
        <v>17.0</v>
      </c>
      <c r="B19" s="7"/>
      <c r="C19" s="8">
        <v>9.05759635E8</v>
      </c>
      <c r="D19" s="9" t="s">
        <v>492</v>
      </c>
      <c r="E19" s="10">
        <v>2.6547435E7</v>
      </c>
      <c r="F19" s="123">
        <v>12.0</v>
      </c>
      <c r="G19" s="192">
        <f t="shared" si="2"/>
        <v>12</v>
      </c>
      <c r="H19" s="12">
        <f t="shared" si="1"/>
        <v>0</v>
      </c>
      <c r="I19" s="13">
        <v>45665.0</v>
      </c>
      <c r="J19" s="19" t="s">
        <v>14</v>
      </c>
      <c r="K19" s="30" t="s">
        <v>771</v>
      </c>
      <c r="L19" s="7" t="s">
        <v>435</v>
      </c>
      <c r="M19" s="20"/>
    </row>
    <row r="20" ht="41.25" customHeight="1">
      <c r="A20" s="7">
        <v>18.0</v>
      </c>
      <c r="B20" s="7"/>
      <c r="C20" s="8">
        <v>9.05727954E8</v>
      </c>
      <c r="D20" s="9" t="s">
        <v>774</v>
      </c>
      <c r="E20" s="10">
        <v>2.6547435E7</v>
      </c>
      <c r="F20" s="123">
        <v>1.0</v>
      </c>
      <c r="G20" s="199">
        <v>1.0</v>
      </c>
      <c r="H20" s="12">
        <f t="shared" si="1"/>
        <v>0</v>
      </c>
      <c r="I20" s="13">
        <v>45665.0</v>
      </c>
      <c r="J20" s="19" t="s">
        <v>14</v>
      </c>
      <c r="K20" s="15">
        <v>45791.0</v>
      </c>
      <c r="L20" s="19" t="s">
        <v>14</v>
      </c>
      <c r="M20" s="20" t="s">
        <v>775</v>
      </c>
    </row>
    <row r="21" ht="41.25" customHeight="1">
      <c r="A21" s="7">
        <v>19.0</v>
      </c>
      <c r="B21" s="7"/>
      <c r="C21" s="8">
        <v>9.05708973E8</v>
      </c>
      <c r="D21" s="9" t="s">
        <v>493</v>
      </c>
      <c r="E21" s="10">
        <v>2.6547435E7</v>
      </c>
      <c r="F21" s="123">
        <v>3.0</v>
      </c>
      <c r="G21" s="192">
        <v>3.0</v>
      </c>
      <c r="H21" s="12">
        <f t="shared" si="1"/>
        <v>0</v>
      </c>
      <c r="I21" s="13">
        <v>45665.0</v>
      </c>
      <c r="J21" s="19" t="s">
        <v>14</v>
      </c>
      <c r="K21" s="15">
        <v>45693.0</v>
      </c>
      <c r="L21" s="7" t="s">
        <v>435</v>
      </c>
      <c r="M21" s="20"/>
    </row>
    <row r="22" ht="41.25" customHeight="1">
      <c r="A22" s="7">
        <v>20.0</v>
      </c>
      <c r="B22" s="7"/>
      <c r="C22" s="8">
        <v>9.08202056E8</v>
      </c>
      <c r="D22" s="9" t="s">
        <v>776</v>
      </c>
      <c r="E22" s="10">
        <v>2.6547435E7</v>
      </c>
      <c r="F22" s="123">
        <v>3.0</v>
      </c>
      <c r="G22" s="192">
        <v>3.0</v>
      </c>
      <c r="H22" s="12">
        <f t="shared" si="1"/>
        <v>0</v>
      </c>
      <c r="I22" s="13">
        <v>45665.0</v>
      </c>
      <c r="J22" s="19" t="s">
        <v>14</v>
      </c>
      <c r="K22" s="15">
        <v>45693.0</v>
      </c>
      <c r="L22" s="7" t="s">
        <v>435</v>
      </c>
      <c r="M22" s="20"/>
    </row>
    <row r="23" ht="41.25" customHeight="1">
      <c r="A23" s="7">
        <v>21.0</v>
      </c>
      <c r="B23" s="7"/>
      <c r="C23" s="8">
        <v>9.08020201E8</v>
      </c>
      <c r="D23" s="9" t="s">
        <v>13</v>
      </c>
      <c r="E23" s="10">
        <v>2.6547435E7</v>
      </c>
      <c r="F23" s="123">
        <v>2.0</v>
      </c>
      <c r="G23" s="192">
        <v>2.0</v>
      </c>
      <c r="H23" s="12">
        <f t="shared" si="1"/>
        <v>0</v>
      </c>
      <c r="I23" s="13">
        <v>45665.0</v>
      </c>
      <c r="J23" s="19" t="s">
        <v>14</v>
      </c>
      <c r="K23" s="15">
        <v>45693.0</v>
      </c>
      <c r="L23" s="7" t="s">
        <v>435</v>
      </c>
      <c r="M23" s="20"/>
    </row>
    <row r="24" ht="41.25" customHeight="1">
      <c r="A24" s="7">
        <v>22.0</v>
      </c>
      <c r="B24" s="7"/>
      <c r="C24" s="8">
        <v>9.05743739E8</v>
      </c>
      <c r="D24" s="9" t="s">
        <v>777</v>
      </c>
      <c r="E24" s="10">
        <v>2.6547435E7</v>
      </c>
      <c r="F24" s="123">
        <v>21.0</v>
      </c>
      <c r="G24" s="199">
        <v>21.0</v>
      </c>
      <c r="H24" s="12">
        <f t="shared" si="1"/>
        <v>0</v>
      </c>
      <c r="I24" s="13">
        <v>45665.0</v>
      </c>
      <c r="J24" s="19" t="s">
        <v>14</v>
      </c>
      <c r="K24" s="15">
        <v>45791.0</v>
      </c>
      <c r="L24" s="19" t="s">
        <v>14</v>
      </c>
      <c r="M24" s="20" t="s">
        <v>775</v>
      </c>
    </row>
    <row r="25" ht="41.25" customHeight="1">
      <c r="A25" s="7">
        <v>23.0</v>
      </c>
      <c r="B25" s="7"/>
      <c r="C25" s="8">
        <v>9.05727926E8</v>
      </c>
      <c r="D25" s="9" t="s">
        <v>778</v>
      </c>
      <c r="E25" s="10">
        <v>2.6547435E7</v>
      </c>
      <c r="F25" s="123">
        <v>3.0</v>
      </c>
      <c r="G25" s="199">
        <v>3.0</v>
      </c>
      <c r="H25" s="12">
        <f t="shared" si="1"/>
        <v>0</v>
      </c>
      <c r="I25" s="13">
        <v>45665.0</v>
      </c>
      <c r="J25" s="19" t="s">
        <v>14</v>
      </c>
      <c r="K25" s="15">
        <v>45791.0</v>
      </c>
      <c r="L25" s="19" t="s">
        <v>14</v>
      </c>
      <c r="M25" s="20" t="s">
        <v>775</v>
      </c>
    </row>
    <row r="26" ht="41.25" customHeight="1">
      <c r="A26" s="7">
        <v>24.0</v>
      </c>
      <c r="B26" s="7"/>
      <c r="C26" s="8">
        <v>9.08122018E8</v>
      </c>
      <c r="D26" s="9" t="s">
        <v>779</v>
      </c>
      <c r="E26" s="10">
        <v>2.6547435E7</v>
      </c>
      <c r="F26" s="123">
        <v>1.0</v>
      </c>
      <c r="G26" s="199">
        <v>1.0</v>
      </c>
      <c r="H26" s="12">
        <f t="shared" si="1"/>
        <v>0</v>
      </c>
      <c r="I26" s="13">
        <v>45665.0</v>
      </c>
      <c r="J26" s="19" t="s">
        <v>14</v>
      </c>
      <c r="K26" s="15">
        <v>45791.0</v>
      </c>
      <c r="L26" s="19" t="s">
        <v>14</v>
      </c>
      <c r="M26" s="20" t="s">
        <v>775</v>
      </c>
    </row>
    <row r="27" ht="41.25" customHeight="1">
      <c r="A27" s="7">
        <v>25.0</v>
      </c>
      <c r="B27" s="7"/>
      <c r="C27" s="8">
        <v>9.08513025E8</v>
      </c>
      <c r="D27" s="9" t="s">
        <v>780</v>
      </c>
      <c r="E27" s="10">
        <v>2.6547435E7</v>
      </c>
      <c r="F27" s="123">
        <v>1.0</v>
      </c>
      <c r="G27" s="192">
        <v>1.0</v>
      </c>
      <c r="H27" s="12">
        <f t="shared" si="1"/>
        <v>0</v>
      </c>
      <c r="I27" s="13">
        <v>45665.0</v>
      </c>
      <c r="J27" s="19" t="s">
        <v>14</v>
      </c>
      <c r="K27" s="15">
        <v>45693.0</v>
      </c>
      <c r="L27" s="7" t="s">
        <v>435</v>
      </c>
      <c r="M27" s="20"/>
    </row>
    <row r="28" ht="41.25" customHeight="1">
      <c r="A28" s="7">
        <v>26.0</v>
      </c>
      <c r="B28" s="7"/>
      <c r="C28" s="8">
        <v>9.0577328E8</v>
      </c>
      <c r="D28" s="9" t="s">
        <v>781</v>
      </c>
      <c r="E28" s="10">
        <v>2.6547435E7</v>
      </c>
      <c r="F28" s="123">
        <v>1.0</v>
      </c>
      <c r="G28" s="192">
        <v>1.0</v>
      </c>
      <c r="H28" s="12">
        <f t="shared" si="1"/>
        <v>0</v>
      </c>
      <c r="I28" s="13">
        <v>45692.0</v>
      </c>
      <c r="J28" s="19" t="s">
        <v>14</v>
      </c>
      <c r="K28" s="15">
        <v>45693.0</v>
      </c>
      <c r="L28" s="7" t="s">
        <v>435</v>
      </c>
      <c r="M28" s="20"/>
    </row>
    <row r="29" ht="41.25" customHeight="1">
      <c r="A29" s="7">
        <v>27.0</v>
      </c>
      <c r="B29" s="7"/>
      <c r="C29" s="19">
        <v>9.07300327E8</v>
      </c>
      <c r="D29" s="20" t="s">
        <v>782</v>
      </c>
      <c r="E29" s="10">
        <v>2.6547435E7</v>
      </c>
      <c r="F29" s="123">
        <v>305.0</v>
      </c>
      <c r="G29" s="123">
        <v>165.0</v>
      </c>
      <c r="H29" s="12">
        <f t="shared" si="1"/>
        <v>140</v>
      </c>
      <c r="I29" s="13">
        <v>45693.0</v>
      </c>
      <c r="J29" s="19" t="s">
        <v>14</v>
      </c>
      <c r="K29" s="15">
        <v>45694.0</v>
      </c>
      <c r="L29" s="7" t="s">
        <v>435</v>
      </c>
      <c r="M29" s="20"/>
    </row>
    <row r="30" ht="45.0" customHeight="1">
      <c r="A30" s="7">
        <v>28.0</v>
      </c>
      <c r="B30" s="19"/>
      <c r="C30" s="19">
        <v>9.05711522E8</v>
      </c>
      <c r="D30" s="20" t="s">
        <v>499</v>
      </c>
      <c r="E30" s="10">
        <v>2.6547435E7</v>
      </c>
      <c r="F30" s="123">
        <v>12.0</v>
      </c>
      <c r="G30" s="123">
        <f>6+3+3</f>
        <v>12</v>
      </c>
      <c r="H30" s="12">
        <f t="shared" si="1"/>
        <v>0</v>
      </c>
      <c r="I30" s="13">
        <v>45665.0</v>
      </c>
      <c r="J30" s="19" t="s">
        <v>14</v>
      </c>
      <c r="K30" s="30" t="s">
        <v>771</v>
      </c>
      <c r="L30" s="7" t="s">
        <v>435</v>
      </c>
      <c r="M30" s="20"/>
    </row>
    <row r="31" ht="41.25" customHeight="1">
      <c r="A31" s="7">
        <v>29.0</v>
      </c>
      <c r="B31" s="7"/>
      <c r="C31" s="8">
        <v>9.08111102E8</v>
      </c>
      <c r="D31" s="9" t="s">
        <v>783</v>
      </c>
      <c r="E31" s="17"/>
      <c r="F31" s="17"/>
      <c r="G31" s="192">
        <v>40.0</v>
      </c>
      <c r="H31" s="12">
        <f t="shared" si="1"/>
        <v>-40</v>
      </c>
      <c r="I31" s="17"/>
      <c r="J31" s="19" t="s">
        <v>14</v>
      </c>
      <c r="K31" s="15">
        <v>45694.0</v>
      </c>
      <c r="L31" s="7" t="s">
        <v>435</v>
      </c>
      <c r="M31" s="17"/>
    </row>
    <row r="32" ht="41.25" customHeight="1">
      <c r="A32" s="7">
        <v>30.0</v>
      </c>
      <c r="B32" s="7"/>
      <c r="C32" s="8">
        <v>9.08111101E8</v>
      </c>
      <c r="D32" s="9" t="s">
        <v>784</v>
      </c>
      <c r="E32" s="17"/>
      <c r="F32" s="17"/>
      <c r="G32" s="192">
        <v>6.0</v>
      </c>
      <c r="H32" s="12">
        <f t="shared" si="1"/>
        <v>-6</v>
      </c>
      <c r="I32" s="17"/>
      <c r="J32" s="19" t="s">
        <v>14</v>
      </c>
      <c r="K32" s="15">
        <v>45694.0</v>
      </c>
      <c r="L32" s="7" t="s">
        <v>435</v>
      </c>
      <c r="M32" s="17"/>
    </row>
    <row r="33" ht="41.25" customHeight="1">
      <c r="A33" s="7">
        <v>31.0</v>
      </c>
      <c r="B33" s="7"/>
      <c r="C33" s="8">
        <v>9.08111003E8</v>
      </c>
      <c r="D33" s="9" t="s">
        <v>785</v>
      </c>
      <c r="E33" s="17"/>
      <c r="F33" s="17"/>
      <c r="G33" s="192">
        <f>56+10.4</f>
        <v>66.4</v>
      </c>
      <c r="H33" s="121">
        <f t="shared" si="1"/>
        <v>-66.4</v>
      </c>
      <c r="I33" s="17"/>
      <c r="J33" s="19" t="s">
        <v>14</v>
      </c>
      <c r="K33" s="30" t="s">
        <v>786</v>
      </c>
      <c r="L33" s="7" t="s">
        <v>435</v>
      </c>
      <c r="M33" s="17"/>
    </row>
    <row r="34" ht="41.25" customHeight="1">
      <c r="A34" s="7">
        <v>32.0</v>
      </c>
      <c r="B34" s="7"/>
      <c r="C34" s="8">
        <v>9.08122039E8</v>
      </c>
      <c r="D34" s="9" t="s">
        <v>130</v>
      </c>
      <c r="E34" s="17"/>
      <c r="F34" s="17"/>
      <c r="G34" s="192">
        <v>4.0</v>
      </c>
      <c r="H34" s="121">
        <f t="shared" si="1"/>
        <v>-4</v>
      </c>
      <c r="I34" s="17"/>
      <c r="J34" s="19" t="s">
        <v>14</v>
      </c>
      <c r="K34" s="30">
        <v>45697.0</v>
      </c>
      <c r="L34" s="7" t="s">
        <v>435</v>
      </c>
      <c r="M34" s="17"/>
    </row>
    <row r="35" ht="41.25" customHeight="1">
      <c r="A35" s="7">
        <v>33.0</v>
      </c>
      <c r="B35" s="17"/>
      <c r="C35" s="8">
        <v>9.05728066E8</v>
      </c>
      <c r="D35" s="9" t="s">
        <v>496</v>
      </c>
      <c r="E35" s="17"/>
      <c r="F35" s="17"/>
      <c r="G35" s="192">
        <v>30.0</v>
      </c>
      <c r="H35" s="121">
        <f t="shared" si="1"/>
        <v>-30</v>
      </c>
      <c r="I35" s="17"/>
      <c r="J35" s="19" t="s">
        <v>14</v>
      </c>
      <c r="K35" s="15">
        <v>45696.0</v>
      </c>
      <c r="L35" s="7" t="s">
        <v>435</v>
      </c>
    </row>
    <row r="36" ht="35.25" customHeight="1">
      <c r="A36" s="7">
        <v>34.0</v>
      </c>
      <c r="B36" s="17"/>
      <c r="C36" s="8">
        <v>9.05901259E8</v>
      </c>
      <c r="D36" s="9" t="s">
        <v>787</v>
      </c>
      <c r="E36" s="10">
        <v>2.6547435E7</v>
      </c>
      <c r="F36" s="123">
        <v>3.0</v>
      </c>
      <c r="G36" s="17"/>
      <c r="H36" s="19">
        <v>3.0</v>
      </c>
      <c r="I36" s="201">
        <v>45902.0</v>
      </c>
      <c r="J36" s="19" t="s">
        <v>14</v>
      </c>
      <c r="K36" s="17"/>
      <c r="L36" s="17"/>
    </row>
    <row r="37" ht="15.75" customHeight="1"/>
    <row r="38" ht="15.75" customHeight="1"/>
    <row r="39" ht="48.0" customHeight="1">
      <c r="A39" s="149" t="s">
        <v>788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27"/>
    </row>
    <row r="40" ht="38.25" customHeight="1">
      <c r="A40" s="4" t="s">
        <v>1</v>
      </c>
      <c r="B40" s="5"/>
      <c r="C40" s="5" t="s">
        <v>789</v>
      </c>
      <c r="D40" s="4" t="s">
        <v>3</v>
      </c>
      <c r="E40" s="4" t="s">
        <v>5</v>
      </c>
      <c r="F40" s="4" t="s">
        <v>790</v>
      </c>
      <c r="G40" s="4" t="s">
        <v>791</v>
      </c>
      <c r="H40" s="17"/>
      <c r="I40" s="17"/>
      <c r="J40" s="17"/>
      <c r="K40" s="17"/>
      <c r="L40" s="17"/>
      <c r="M40" s="17"/>
    </row>
    <row r="41" ht="38.25" customHeight="1">
      <c r="A41" s="118">
        <v>1.0</v>
      </c>
      <c r="B41" s="118"/>
      <c r="C41" s="38">
        <v>9.07300327E8</v>
      </c>
      <c r="D41" s="38" t="s">
        <v>782</v>
      </c>
      <c r="E41" s="38">
        <f>0.4+0.4+0.38+0.28+0.37+0.44+0.52</f>
        <v>2.79</v>
      </c>
      <c r="F41" s="21">
        <v>45698.0</v>
      </c>
      <c r="G41" s="9" t="s">
        <v>435</v>
      </c>
      <c r="H41" s="17"/>
      <c r="I41" s="17"/>
      <c r="J41" s="17"/>
      <c r="K41" s="17"/>
      <c r="L41" s="17"/>
      <c r="M41" s="17"/>
    </row>
    <row r="42" ht="38.25" customHeight="1">
      <c r="A42" s="118">
        <v>2.0</v>
      </c>
      <c r="B42" s="118"/>
      <c r="C42" s="38">
        <v>9.08111003E8</v>
      </c>
      <c r="D42" s="38" t="s">
        <v>785</v>
      </c>
      <c r="E42" s="38">
        <f>0.25+0.54+0.43</f>
        <v>1.22</v>
      </c>
      <c r="F42" s="21">
        <v>45698.0</v>
      </c>
      <c r="G42" s="9" t="s">
        <v>435</v>
      </c>
      <c r="H42" s="17"/>
      <c r="I42" s="17"/>
      <c r="J42" s="17"/>
      <c r="K42" s="17"/>
      <c r="L42" s="17"/>
      <c r="M42" s="17"/>
    </row>
    <row r="43" ht="38.25" customHeight="1">
      <c r="A43" s="118">
        <v>3.0</v>
      </c>
      <c r="B43" s="118"/>
      <c r="C43" s="38">
        <v>9.05728066E8</v>
      </c>
      <c r="D43" s="38" t="s">
        <v>496</v>
      </c>
      <c r="E43" s="38">
        <f>0.81+0.7+0.74+0.95+0.67+0.25</f>
        <v>4.12</v>
      </c>
      <c r="F43" s="21">
        <v>45698.0</v>
      </c>
      <c r="G43" s="9" t="s">
        <v>435</v>
      </c>
      <c r="H43" s="17"/>
      <c r="I43" s="17"/>
      <c r="J43" s="17"/>
      <c r="K43" s="17"/>
      <c r="L43" s="17"/>
      <c r="M43" s="17"/>
    </row>
    <row r="44" ht="38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ht="38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ht="38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39:M39"/>
  </mergeCells>
  <printOptions/>
  <pageMargins bottom="0.75" footer="0.0" header="0.0" left="0.7" right="0.7" top="0.75"/>
  <pageSetup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792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9.08370504E8</v>
      </c>
      <c r="C3" s="7" t="s">
        <v>525</v>
      </c>
      <c r="D3" s="10">
        <v>2.6601943E7</v>
      </c>
      <c r="E3" s="7">
        <v>1.0</v>
      </c>
      <c r="F3" s="199">
        <v>1.0</v>
      </c>
      <c r="G3" s="12">
        <f t="shared" ref="G3:G4" si="1">E3-F3</f>
        <v>0</v>
      </c>
      <c r="H3" s="13">
        <v>45673.0</v>
      </c>
      <c r="I3" s="14" t="s">
        <v>14</v>
      </c>
      <c r="J3" s="15">
        <v>45708.0</v>
      </c>
      <c r="K3" s="7" t="s">
        <v>599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9.08402207E8</v>
      </c>
      <c r="C4" s="9" t="s">
        <v>793</v>
      </c>
      <c r="D4" s="10">
        <v>2.6601943E7</v>
      </c>
      <c r="E4" s="123">
        <v>1.0</v>
      </c>
      <c r="F4" s="199">
        <v>1.0</v>
      </c>
      <c r="G4" s="12">
        <f t="shared" si="1"/>
        <v>0</v>
      </c>
      <c r="H4" s="13">
        <v>45673.0</v>
      </c>
      <c r="I4" s="14" t="s">
        <v>14</v>
      </c>
      <c r="J4" s="15">
        <v>45708.0</v>
      </c>
      <c r="K4" s="7" t="s">
        <v>599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10">
      <c r="F10" s="18">
        <v>6.0</v>
      </c>
    </row>
    <row r="20">
      <c r="H20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9.08370504E8</v>
      </c>
      <c r="C3" s="7" t="s">
        <v>525</v>
      </c>
      <c r="D3" s="10">
        <v>2.6601945E7</v>
      </c>
      <c r="E3" s="7">
        <v>1.0</v>
      </c>
      <c r="F3" s="199">
        <v>1.0</v>
      </c>
      <c r="G3" s="12">
        <f t="shared" ref="G3:G4" si="1">E3-F3</f>
        <v>0</v>
      </c>
      <c r="H3" s="13">
        <v>45673.0</v>
      </c>
      <c r="I3" s="14" t="s">
        <v>14</v>
      </c>
      <c r="J3" s="15">
        <v>45708.0</v>
      </c>
      <c r="K3" s="7" t="s">
        <v>599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9.08402207E8</v>
      </c>
      <c r="C4" s="9" t="s">
        <v>793</v>
      </c>
      <c r="D4" s="10">
        <v>2.6601945E7</v>
      </c>
      <c r="E4" s="123">
        <v>1.0</v>
      </c>
      <c r="F4" s="199">
        <v>1.0</v>
      </c>
      <c r="G4" s="12">
        <f t="shared" si="1"/>
        <v>0</v>
      </c>
      <c r="H4" s="13">
        <v>45673.0</v>
      </c>
      <c r="I4" s="14" t="s">
        <v>14</v>
      </c>
      <c r="J4" s="15">
        <v>45708.0</v>
      </c>
      <c r="K4" s="7" t="s">
        <v>599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10">
      <c r="F10" s="18">
        <v>6.0</v>
      </c>
    </row>
    <row r="20">
      <c r="H20" s="18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795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2.6540726E7</v>
      </c>
      <c r="E3" s="7">
        <v>1.0</v>
      </c>
      <c r="F3" s="199"/>
      <c r="G3" s="12">
        <f t="shared" ref="G3:G24" si="1">E3-F3</f>
        <v>1</v>
      </c>
      <c r="H3" s="13">
        <v>45665.0</v>
      </c>
      <c r="I3" s="14" t="s">
        <v>14</v>
      </c>
      <c r="J3" s="15">
        <v>45678.0</v>
      </c>
      <c r="K3" s="7" t="s">
        <v>294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2.6540726E7</v>
      </c>
      <c r="E4" s="123">
        <v>2.0</v>
      </c>
      <c r="F4" s="199">
        <v>2.0</v>
      </c>
      <c r="G4" s="12">
        <f t="shared" si="1"/>
        <v>0</v>
      </c>
      <c r="H4" s="13">
        <v>45665.0</v>
      </c>
      <c r="I4" s="14" t="s">
        <v>14</v>
      </c>
      <c r="J4" s="15">
        <v>45678.0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2.6540726E7</v>
      </c>
      <c r="E5" s="123">
        <v>2.0</v>
      </c>
      <c r="F5" s="199">
        <f>1+1</f>
        <v>2</v>
      </c>
      <c r="G5" s="12">
        <f t="shared" si="1"/>
        <v>0</v>
      </c>
      <c r="H5" s="13">
        <v>45665.0</v>
      </c>
      <c r="I5" s="14" t="s">
        <v>14</v>
      </c>
      <c r="J5" s="30" t="s">
        <v>796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2.6540726E7</v>
      </c>
      <c r="E6" s="123">
        <v>2.0</v>
      </c>
      <c r="F6" s="199">
        <v>2.0</v>
      </c>
      <c r="G6" s="12">
        <f t="shared" si="1"/>
        <v>0</v>
      </c>
      <c r="H6" s="13">
        <v>45665.0</v>
      </c>
      <c r="I6" s="14" t="s">
        <v>14</v>
      </c>
      <c r="J6" s="15">
        <v>45678.0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0">
        <v>2.6540726E7</v>
      </c>
      <c r="E7" s="123">
        <v>2.0</v>
      </c>
      <c r="F7" s="199">
        <v>2.0</v>
      </c>
      <c r="G7" s="12">
        <f t="shared" si="1"/>
        <v>0</v>
      </c>
      <c r="H7" s="13">
        <v>45665.0</v>
      </c>
      <c r="I7" s="14" t="s">
        <v>14</v>
      </c>
      <c r="J7" s="15">
        <v>45678.0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2.6540726E7</v>
      </c>
      <c r="E8" s="123">
        <v>2.0</v>
      </c>
      <c r="F8" s="199">
        <v>2.0</v>
      </c>
      <c r="G8" s="12">
        <f t="shared" si="1"/>
        <v>0</v>
      </c>
      <c r="H8" s="13">
        <v>45665.0</v>
      </c>
      <c r="I8" s="14" t="s">
        <v>14</v>
      </c>
      <c r="J8" s="15">
        <v>45678.0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2.6540726E7</v>
      </c>
      <c r="E9" s="123">
        <v>1.0</v>
      </c>
      <c r="F9" s="199">
        <v>1.0</v>
      </c>
      <c r="G9" s="12">
        <f t="shared" si="1"/>
        <v>0</v>
      </c>
      <c r="H9" s="13">
        <v>45665.0</v>
      </c>
      <c r="I9" s="14" t="s">
        <v>14</v>
      </c>
      <c r="J9" s="15">
        <v>45678.0</v>
      </c>
      <c r="K9" s="7" t="s">
        <v>294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2.6540726E7</v>
      </c>
      <c r="E10" s="123">
        <v>3.0</v>
      </c>
      <c r="F10" s="199">
        <v>6.0</v>
      </c>
      <c r="G10" s="12">
        <f t="shared" si="1"/>
        <v>-3</v>
      </c>
      <c r="H10" s="13">
        <v>45665.0</v>
      </c>
      <c r="I10" s="14" t="s">
        <v>14</v>
      </c>
      <c r="J10" s="15">
        <v>45686.0</v>
      </c>
      <c r="K10" s="7" t="s">
        <v>294</v>
      </c>
      <c r="L10" s="9"/>
    </row>
    <row r="11">
      <c r="A11" s="7">
        <v>9.0</v>
      </c>
      <c r="B11" s="8">
        <v>9.08111007E8</v>
      </c>
      <c r="C11" s="9" t="s">
        <v>451</v>
      </c>
      <c r="D11" s="10">
        <v>2.6540726E7</v>
      </c>
      <c r="E11" s="123">
        <v>83.0</v>
      </c>
      <c r="F11" s="199">
        <v>72.0</v>
      </c>
      <c r="G11" s="12">
        <f t="shared" si="1"/>
        <v>11</v>
      </c>
      <c r="H11" s="13">
        <v>45671.0</v>
      </c>
      <c r="I11" s="14" t="s">
        <v>14</v>
      </c>
      <c r="J11" s="15">
        <v>45678.0</v>
      </c>
      <c r="K11" s="7" t="s">
        <v>294</v>
      </c>
      <c r="L11" s="9"/>
    </row>
    <row r="12">
      <c r="A12" s="7">
        <v>10.0</v>
      </c>
      <c r="B12" s="8">
        <v>9.08111005E8</v>
      </c>
      <c r="C12" s="9" t="s">
        <v>608</v>
      </c>
      <c r="D12" s="10">
        <v>2.6540726E7</v>
      </c>
      <c r="E12" s="123"/>
      <c r="F12" s="199">
        <v>58.0</v>
      </c>
      <c r="G12" s="12">
        <f t="shared" si="1"/>
        <v>-58</v>
      </c>
      <c r="H12" s="13">
        <v>45665.0</v>
      </c>
      <c r="I12" s="14" t="s">
        <v>14</v>
      </c>
      <c r="J12" s="15">
        <v>45678.0</v>
      </c>
      <c r="K12" s="7" t="s">
        <v>294</v>
      </c>
      <c r="L12" s="9"/>
    </row>
    <row r="13">
      <c r="A13" s="7">
        <v>11.0</v>
      </c>
      <c r="B13" s="8"/>
      <c r="C13" s="9" t="s">
        <v>452</v>
      </c>
      <c r="D13" s="10">
        <v>2.6540726E7</v>
      </c>
      <c r="E13" s="123">
        <v>6.0</v>
      </c>
      <c r="F13" s="199">
        <v>6.0</v>
      </c>
      <c r="G13" s="12">
        <f t="shared" si="1"/>
        <v>0</v>
      </c>
      <c r="H13" s="13">
        <v>45671.0</v>
      </c>
      <c r="I13" s="14" t="s">
        <v>14</v>
      </c>
      <c r="J13" s="15">
        <v>45678.0</v>
      </c>
      <c r="K13" s="7" t="s">
        <v>294</v>
      </c>
      <c r="L13" s="17"/>
    </row>
    <row r="14">
      <c r="A14" s="7">
        <v>12.0</v>
      </c>
      <c r="B14" s="147">
        <v>9.08020201E8</v>
      </c>
      <c r="C14" s="7" t="s">
        <v>13</v>
      </c>
      <c r="D14" s="10"/>
      <c r="E14" s="123">
        <v>1.0</v>
      </c>
      <c r="F14" s="199"/>
      <c r="G14" s="12">
        <f t="shared" si="1"/>
        <v>1</v>
      </c>
      <c r="H14" s="13">
        <v>45714.0</v>
      </c>
      <c r="I14" s="14" t="s">
        <v>14</v>
      </c>
      <c r="J14" s="15"/>
      <c r="K14" s="7"/>
      <c r="L14" s="17"/>
    </row>
    <row r="15">
      <c r="A15" s="7">
        <v>13.0</v>
      </c>
      <c r="B15" s="8">
        <v>9.08421001E8</v>
      </c>
      <c r="C15" s="9" t="s">
        <v>532</v>
      </c>
      <c r="D15" s="10"/>
      <c r="E15" s="123">
        <v>1.0</v>
      </c>
      <c r="F15" s="199">
        <v>1.0</v>
      </c>
      <c r="G15" s="12">
        <f t="shared" si="1"/>
        <v>0</v>
      </c>
      <c r="H15" s="13">
        <v>45714.0</v>
      </c>
      <c r="I15" s="14" t="s">
        <v>14</v>
      </c>
      <c r="J15" s="15">
        <v>45715.0</v>
      </c>
      <c r="K15" s="7" t="s">
        <v>294</v>
      </c>
      <c r="L15" s="17"/>
    </row>
    <row r="16">
      <c r="A16" s="7">
        <v>14.0</v>
      </c>
      <c r="B16" s="8">
        <v>9.08421003E8</v>
      </c>
      <c r="C16" s="9" t="s">
        <v>601</v>
      </c>
      <c r="D16" s="10"/>
      <c r="E16" s="123">
        <v>1.0</v>
      </c>
      <c r="F16" s="199">
        <v>1.0</v>
      </c>
      <c r="G16" s="12">
        <f t="shared" si="1"/>
        <v>0</v>
      </c>
      <c r="H16" s="13">
        <v>45714.0</v>
      </c>
      <c r="I16" s="14" t="s">
        <v>14</v>
      </c>
      <c r="J16" s="15">
        <v>45715.0</v>
      </c>
      <c r="K16" s="7" t="s">
        <v>294</v>
      </c>
      <c r="L16" s="17"/>
    </row>
    <row r="17">
      <c r="A17" s="7">
        <v>15.0</v>
      </c>
      <c r="B17" s="8">
        <v>9.08402208E8</v>
      </c>
      <c r="C17" s="9" t="s">
        <v>111</v>
      </c>
      <c r="D17" s="10"/>
      <c r="E17" s="123">
        <v>5.0</v>
      </c>
      <c r="F17" s="199">
        <v>5.0</v>
      </c>
      <c r="G17" s="12">
        <f t="shared" si="1"/>
        <v>0</v>
      </c>
      <c r="H17" s="13">
        <v>45714.0</v>
      </c>
      <c r="I17" s="14" t="s">
        <v>14</v>
      </c>
      <c r="J17" s="15">
        <v>45715.0</v>
      </c>
      <c r="K17" s="7" t="s">
        <v>294</v>
      </c>
      <c r="L17" s="17"/>
    </row>
    <row r="18">
      <c r="A18" s="7">
        <v>16.0</v>
      </c>
      <c r="B18" s="8">
        <v>9.08371013E8</v>
      </c>
      <c r="C18" s="9" t="s">
        <v>797</v>
      </c>
      <c r="D18" s="10"/>
      <c r="E18" s="123">
        <v>5.0</v>
      </c>
      <c r="F18" s="199">
        <v>5.0</v>
      </c>
      <c r="G18" s="12">
        <f t="shared" si="1"/>
        <v>0</v>
      </c>
      <c r="H18" s="13">
        <v>45714.0</v>
      </c>
      <c r="I18" s="14" t="s">
        <v>14</v>
      </c>
      <c r="J18" s="15">
        <v>45715.0</v>
      </c>
      <c r="K18" s="7" t="s">
        <v>294</v>
      </c>
      <c r="L18" s="17"/>
    </row>
    <row r="19">
      <c r="A19" s="7">
        <v>17.0</v>
      </c>
      <c r="B19" s="8">
        <v>9.0820203E8</v>
      </c>
      <c r="C19" s="9" t="s">
        <v>454</v>
      </c>
      <c r="D19" s="10"/>
      <c r="E19" s="123">
        <v>6.0</v>
      </c>
      <c r="F19" s="199">
        <v>6.0</v>
      </c>
      <c r="G19" s="12">
        <f t="shared" si="1"/>
        <v>0</v>
      </c>
      <c r="H19" s="13">
        <v>45714.0</v>
      </c>
      <c r="I19" s="14" t="s">
        <v>14</v>
      </c>
      <c r="J19" s="15">
        <v>45719.0</v>
      </c>
      <c r="K19" s="7" t="s">
        <v>294</v>
      </c>
      <c r="L19" s="17"/>
    </row>
    <row r="20">
      <c r="A20" s="7">
        <v>18.0</v>
      </c>
      <c r="B20" s="8">
        <v>9.08122003E8</v>
      </c>
      <c r="C20" s="9" t="s">
        <v>574</v>
      </c>
      <c r="D20" s="10"/>
      <c r="E20" s="123">
        <v>16.0</v>
      </c>
      <c r="F20" s="199">
        <v>16.0</v>
      </c>
      <c r="G20" s="12">
        <f t="shared" si="1"/>
        <v>0</v>
      </c>
      <c r="H20" s="13">
        <v>45714.0</v>
      </c>
      <c r="I20" s="14" t="s">
        <v>14</v>
      </c>
      <c r="J20" s="15">
        <v>45719.0</v>
      </c>
      <c r="K20" s="7" t="s">
        <v>294</v>
      </c>
      <c r="L20" s="17"/>
    </row>
    <row r="21" ht="15.75" customHeight="1">
      <c r="A21" s="7">
        <v>19.0</v>
      </c>
      <c r="B21" s="8">
        <v>9.0812201E8</v>
      </c>
      <c r="C21" s="9" t="s">
        <v>80</v>
      </c>
      <c r="D21" s="10"/>
      <c r="E21" s="123">
        <v>16.0</v>
      </c>
      <c r="F21" s="199">
        <v>16.0</v>
      </c>
      <c r="G21" s="12">
        <f t="shared" si="1"/>
        <v>0</v>
      </c>
      <c r="H21" s="13">
        <v>45714.0</v>
      </c>
      <c r="I21" s="14" t="s">
        <v>14</v>
      </c>
      <c r="J21" s="15">
        <v>45719.0</v>
      </c>
      <c r="K21" s="7" t="s">
        <v>294</v>
      </c>
      <c r="L21" s="17"/>
    </row>
    <row r="22" ht="15.75" customHeight="1">
      <c r="A22" s="7">
        <v>20.0</v>
      </c>
      <c r="B22" s="8">
        <v>9.08202189E8</v>
      </c>
      <c r="C22" s="9" t="s">
        <v>55</v>
      </c>
      <c r="D22" s="10"/>
      <c r="E22" s="123">
        <v>2.0</v>
      </c>
      <c r="F22" s="199">
        <v>2.0</v>
      </c>
      <c r="G22" s="12">
        <f t="shared" si="1"/>
        <v>0</v>
      </c>
      <c r="H22" s="13">
        <v>45714.0</v>
      </c>
      <c r="I22" s="14" t="s">
        <v>14</v>
      </c>
      <c r="J22" s="15">
        <v>45719.0</v>
      </c>
      <c r="K22" s="7" t="s">
        <v>294</v>
      </c>
      <c r="L22" s="17"/>
    </row>
    <row r="23" ht="15.75" customHeight="1">
      <c r="A23" s="7">
        <v>21.0</v>
      </c>
      <c r="B23" s="8">
        <v>9.08202054E8</v>
      </c>
      <c r="C23" s="9" t="s">
        <v>455</v>
      </c>
      <c r="D23" s="10"/>
      <c r="E23" s="123">
        <v>2.0</v>
      </c>
      <c r="F23" s="199">
        <v>2.0</v>
      </c>
      <c r="G23" s="12">
        <f t="shared" si="1"/>
        <v>0</v>
      </c>
      <c r="H23" s="13">
        <v>45714.0</v>
      </c>
      <c r="I23" s="14" t="s">
        <v>14</v>
      </c>
      <c r="J23" s="15">
        <v>45719.0</v>
      </c>
      <c r="K23" s="7" t="s">
        <v>294</v>
      </c>
      <c r="L23" s="17"/>
    </row>
    <row r="24" ht="15.75" customHeight="1">
      <c r="A24" s="7">
        <v>22.0</v>
      </c>
      <c r="B24" s="8">
        <v>9.08111101E8</v>
      </c>
      <c r="C24" s="9" t="s">
        <v>452</v>
      </c>
      <c r="D24" s="10"/>
      <c r="E24" s="123">
        <v>4.0</v>
      </c>
      <c r="F24" s="199">
        <v>4.0</v>
      </c>
      <c r="G24" s="12">
        <f t="shared" si="1"/>
        <v>0</v>
      </c>
      <c r="H24" s="13">
        <v>45714.0</v>
      </c>
      <c r="I24" s="14" t="s">
        <v>14</v>
      </c>
      <c r="J24" s="15">
        <v>45719.0</v>
      </c>
      <c r="K24" s="7" t="s">
        <v>294</v>
      </c>
      <c r="L24" s="17"/>
    </row>
    <row r="25" ht="15.75" customHeight="1"/>
    <row r="26" ht="15.75" customHeight="1"/>
    <row r="27" ht="15.75" customHeight="1"/>
    <row r="28" ht="15.75" customHeight="1">
      <c r="H28" s="18" t="s">
        <v>341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67.29"/>
    <col customWidth="1" min="4" max="4" width="24.43"/>
    <col customWidth="1" min="5" max="5" width="22.43"/>
    <col customWidth="1" min="6" max="6" width="15.43"/>
    <col customWidth="1" min="7" max="7" width="16.86"/>
    <col customWidth="1" min="8" max="8" width="26.86"/>
    <col customWidth="1" min="9" max="9" width="27.71"/>
    <col customWidth="1" min="10" max="11" width="30.57"/>
    <col customWidth="1" min="12" max="12" width="33.29"/>
    <col customWidth="1" min="13" max="26" width="8.71"/>
  </cols>
  <sheetData>
    <row r="1">
      <c r="A1" s="1" t="s">
        <v>798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4" t="s">
        <v>10</v>
      </c>
      <c r="K2" s="4" t="s">
        <v>11</v>
      </c>
      <c r="L2" s="4" t="s">
        <v>12</v>
      </c>
    </row>
    <row r="3">
      <c r="A3" s="7">
        <v>1.0</v>
      </c>
      <c r="B3" s="147">
        <v>9.08020201E8</v>
      </c>
      <c r="C3" s="7" t="s">
        <v>13</v>
      </c>
      <c r="D3" s="10">
        <v>2.6474671E7</v>
      </c>
      <c r="E3" s="7">
        <v>1.0</v>
      </c>
      <c r="F3" s="199"/>
      <c r="G3" s="12">
        <f t="shared" ref="G3:G13" si="1">E3-F3</f>
        <v>1</v>
      </c>
      <c r="H3" s="13">
        <v>45658.0</v>
      </c>
      <c r="I3" s="14" t="s">
        <v>14</v>
      </c>
      <c r="J3" s="15">
        <v>45669.0</v>
      </c>
      <c r="K3" s="7" t="s">
        <v>294</v>
      </c>
      <c r="L3" s="7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7">
        <v>2.0</v>
      </c>
      <c r="B4" s="8">
        <v>9.08121008E8</v>
      </c>
      <c r="C4" s="9" t="s">
        <v>17</v>
      </c>
      <c r="D4" s="10">
        <v>2.6474671E7</v>
      </c>
      <c r="E4" s="123">
        <v>2.0</v>
      </c>
      <c r="F4" s="199">
        <v>2.0</v>
      </c>
      <c r="G4" s="12">
        <f t="shared" si="1"/>
        <v>0</v>
      </c>
      <c r="H4" s="13">
        <v>45658.0</v>
      </c>
      <c r="I4" s="14" t="s">
        <v>14</v>
      </c>
      <c r="J4" s="15">
        <v>45669.0</v>
      </c>
      <c r="K4" s="7" t="s">
        <v>294</v>
      </c>
      <c r="L4" s="20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7">
        <v>3.0</v>
      </c>
      <c r="B5" s="8">
        <v>9.0812101E8</v>
      </c>
      <c r="C5" s="9" t="s">
        <v>549</v>
      </c>
      <c r="D5" s="10">
        <v>2.6474671E7</v>
      </c>
      <c r="E5" s="123">
        <v>2.0</v>
      </c>
      <c r="F5" s="199">
        <f>1+1</f>
        <v>2</v>
      </c>
      <c r="G5" s="12">
        <f t="shared" si="1"/>
        <v>0</v>
      </c>
      <c r="H5" s="13">
        <v>45658.0</v>
      </c>
      <c r="I5" s="14" t="s">
        <v>14</v>
      </c>
      <c r="J5" s="30" t="s">
        <v>799</v>
      </c>
      <c r="K5" s="7" t="s">
        <v>294</v>
      </c>
      <c r="L5" s="2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7">
        <v>4.0</v>
      </c>
      <c r="B6" s="8">
        <v>9.08202098E8</v>
      </c>
      <c r="C6" s="9" t="s">
        <v>453</v>
      </c>
      <c r="D6" s="10">
        <v>2.6474671E7</v>
      </c>
      <c r="E6" s="123">
        <v>2.0</v>
      </c>
      <c r="F6" s="199">
        <v>2.0</v>
      </c>
      <c r="G6" s="12">
        <f t="shared" si="1"/>
        <v>0</v>
      </c>
      <c r="H6" s="13">
        <v>45658.0</v>
      </c>
      <c r="I6" s="14" t="s">
        <v>14</v>
      </c>
      <c r="J6" s="15">
        <v>45669.0</v>
      </c>
      <c r="K6" s="7" t="s">
        <v>294</v>
      </c>
      <c r="L6" s="20"/>
    </row>
    <row r="7">
      <c r="A7" s="7">
        <v>5.0</v>
      </c>
      <c r="B7" s="8">
        <v>9.0820203E8</v>
      </c>
      <c r="C7" s="9" t="s">
        <v>454</v>
      </c>
      <c r="D7" s="10">
        <v>2.6474671E7</v>
      </c>
      <c r="E7" s="123">
        <v>2.0</v>
      </c>
      <c r="F7" s="199">
        <v>2.0</v>
      </c>
      <c r="G7" s="12">
        <f t="shared" si="1"/>
        <v>0</v>
      </c>
      <c r="H7" s="13">
        <v>45658.0</v>
      </c>
      <c r="I7" s="14" t="s">
        <v>14</v>
      </c>
      <c r="J7" s="15">
        <v>45669.0</v>
      </c>
      <c r="K7" s="7" t="s">
        <v>294</v>
      </c>
      <c r="L7" s="20"/>
    </row>
    <row r="8" ht="29.25" customHeight="1">
      <c r="A8" s="7">
        <v>6.0</v>
      </c>
      <c r="B8" s="8">
        <v>9.08202054E8</v>
      </c>
      <c r="C8" s="9" t="s">
        <v>455</v>
      </c>
      <c r="D8" s="10">
        <v>2.6474671E7</v>
      </c>
      <c r="E8" s="123">
        <v>2.0</v>
      </c>
      <c r="F8" s="199">
        <v>2.0</v>
      </c>
      <c r="G8" s="12">
        <f t="shared" si="1"/>
        <v>0</v>
      </c>
      <c r="H8" s="13">
        <v>45658.0</v>
      </c>
      <c r="I8" s="14" t="s">
        <v>14</v>
      </c>
      <c r="J8" s="15">
        <v>45669.0</v>
      </c>
      <c r="K8" s="7" t="s">
        <v>294</v>
      </c>
      <c r="L8" s="9"/>
    </row>
    <row r="9" ht="29.25" customHeight="1">
      <c r="A9" s="7">
        <v>7.0</v>
      </c>
      <c r="B9" s="8">
        <v>9.08312001E8</v>
      </c>
      <c r="C9" s="9" t="s">
        <v>607</v>
      </c>
      <c r="D9" s="10">
        <v>2.6474671E7</v>
      </c>
      <c r="E9" s="123">
        <v>1.0</v>
      </c>
      <c r="F9" s="199">
        <v>1.0</v>
      </c>
      <c r="G9" s="12">
        <f t="shared" si="1"/>
        <v>0</v>
      </c>
      <c r="H9" s="13">
        <v>45658.0</v>
      </c>
      <c r="I9" s="14" t="s">
        <v>14</v>
      </c>
      <c r="J9" s="15">
        <v>45669.0</v>
      </c>
      <c r="K9" s="7" t="s">
        <v>294</v>
      </c>
      <c r="L9" s="9"/>
    </row>
    <row r="10" ht="29.25" customHeight="1">
      <c r="A10" s="7">
        <v>8.0</v>
      </c>
      <c r="B10" s="8">
        <v>9.08122011E8</v>
      </c>
      <c r="C10" s="9" t="s">
        <v>677</v>
      </c>
      <c r="D10" s="10">
        <v>2.6474671E7</v>
      </c>
      <c r="E10" s="123">
        <v>3.0</v>
      </c>
      <c r="F10" s="199">
        <v>6.0</v>
      </c>
      <c r="G10" s="12">
        <f t="shared" si="1"/>
        <v>-3</v>
      </c>
      <c r="H10" s="13">
        <v>45658.0</v>
      </c>
      <c r="I10" s="14" t="s">
        <v>14</v>
      </c>
      <c r="J10" s="15">
        <v>45672.0</v>
      </c>
      <c r="K10" s="7" t="s">
        <v>294</v>
      </c>
      <c r="L10" s="9"/>
    </row>
    <row r="11" ht="29.25" customHeight="1">
      <c r="A11" s="7"/>
      <c r="B11" s="8">
        <v>9.08111101E8</v>
      </c>
      <c r="C11" s="9" t="s">
        <v>452</v>
      </c>
      <c r="D11" s="10">
        <v>2.7487462E7</v>
      </c>
      <c r="E11" s="123">
        <v>6.0</v>
      </c>
      <c r="F11" s="199">
        <v>6.0</v>
      </c>
      <c r="G11" s="12">
        <f t="shared" si="1"/>
        <v>0</v>
      </c>
      <c r="H11" s="13">
        <v>45873.0</v>
      </c>
      <c r="I11" s="14"/>
      <c r="J11" s="15">
        <v>45669.0</v>
      </c>
      <c r="K11" s="7" t="s">
        <v>294</v>
      </c>
      <c r="L11" s="9"/>
    </row>
    <row r="12">
      <c r="A12" s="7">
        <v>9.0</v>
      </c>
      <c r="B12" s="8">
        <v>9.08111007E8</v>
      </c>
      <c r="C12" s="9" t="s">
        <v>451</v>
      </c>
      <c r="D12" s="10">
        <v>2.7487462E7</v>
      </c>
      <c r="E12" s="123">
        <v>50.0</v>
      </c>
      <c r="F12" s="199">
        <v>47.0</v>
      </c>
      <c r="G12" s="12">
        <f t="shared" si="1"/>
        <v>3</v>
      </c>
      <c r="H12" s="13">
        <v>45869.0</v>
      </c>
      <c r="I12" s="14" t="s">
        <v>14</v>
      </c>
      <c r="J12" s="15">
        <v>45668.0</v>
      </c>
      <c r="K12" s="7" t="s">
        <v>294</v>
      </c>
      <c r="L12" s="9"/>
    </row>
    <row r="13">
      <c r="A13" s="7">
        <v>10.0</v>
      </c>
      <c r="B13" s="8">
        <v>9.08111005E8</v>
      </c>
      <c r="C13" s="9" t="s">
        <v>608</v>
      </c>
      <c r="D13" s="10">
        <v>2.7487462E7</v>
      </c>
      <c r="E13" s="123">
        <v>38.0</v>
      </c>
      <c r="F13" s="199">
        <v>38.0</v>
      </c>
      <c r="G13" s="12">
        <f t="shared" si="1"/>
        <v>0</v>
      </c>
      <c r="H13" s="13">
        <v>45873.0</v>
      </c>
      <c r="I13" s="14" t="s">
        <v>14</v>
      </c>
      <c r="J13" s="15">
        <v>45668.0</v>
      </c>
      <c r="K13" s="7" t="s">
        <v>294</v>
      </c>
      <c r="L1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H29" s="18" t="s">
        <v>341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2025-01-21T05:43:11Z</dcterms:created>
  <dc:creator>Khonaini SEC Store</dc:creator>
</cp:coreProperties>
</file>